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Model_Comparison_Summ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<sst xmlns="http://schemas.openxmlformats.org/spreadsheetml/2006/main" count="1016" uniqueCount="135">
  <si>
    <t xml:space="preserve">Self-contained snapshot of the cleaned/prepared regression dataset (320 rows). The comparison table on the next sheet computes live from this data using LINEST, independent of any other file.</t>
  </si>
  <si>
    <t xml:space="preserve">store_id</t>
  </si>
  <si>
    <t xml:space="preserve">region</t>
  </si>
  <si>
    <t xml:space="preserve">store_type</t>
  </si>
  <si>
    <t xml:space="preserve">marketing_spend</t>
  </si>
  <si>
    <t xml:space="preserve">footfall</t>
  </si>
  <si>
    <t xml:space="preserve">avg_discount_pct</t>
  </si>
  <si>
    <t xml:space="preserve">inventory_availability_pct</t>
  </si>
  <si>
    <t xml:space="preserve">customer_rating_clean</t>
  </si>
  <si>
    <t xml:space="preserve">monthly_sales</t>
  </si>
  <si>
    <t xml:space="preserve">store_type_Mall</t>
  </si>
  <si>
    <t xml:space="preserve">store_type_Residential</t>
  </si>
  <si>
    <t xml:space="preserve">store_type_Airport</t>
  </si>
  <si>
    <t xml:space="preserve">mr1_footfall</t>
  </si>
  <si>
    <t xml:space="preserve">mr1_marketing_spend</t>
  </si>
  <si>
    <t xml:space="preserve">mr1_inventory_availability_pct</t>
  </si>
  <si>
    <t xml:space="preserve">mr1_store_type_Mall</t>
  </si>
  <si>
    <t xml:space="preserve">mr1_store_type_Residential</t>
  </si>
  <si>
    <t xml:space="preserve">mr1_store_type_Airport</t>
  </si>
  <si>
    <t xml:space="preserve">mr2_footfall</t>
  </si>
  <si>
    <t xml:space="preserve">mr2_marketing_spend</t>
  </si>
  <si>
    <t xml:space="preserve">mr2_inventory_availability_pct</t>
  </si>
  <si>
    <t xml:space="preserve">mr2_avg_discount_pct</t>
  </si>
  <si>
    <t xml:space="preserve">mr2_customer_rating_clean</t>
  </si>
  <si>
    <t xml:space="preserve">mr2_store_type_Mall</t>
  </si>
  <si>
    <t xml:space="preserve">mr2_store_type_Residential</t>
  </si>
  <si>
    <t xml:space="preserve">mr2_store_type_Airport</t>
  </si>
  <si>
    <t xml:space="preserve">STR-1001</t>
  </si>
  <si>
    <t xml:space="preserve">East</t>
  </si>
  <si>
    <t xml:space="preserve">Residential</t>
  </si>
  <si>
    <t xml:space="preserve">STR-1002</t>
  </si>
  <si>
    <t xml:space="preserve">High Street</t>
  </si>
  <si>
    <t xml:space="preserve">STR-1003</t>
  </si>
  <si>
    <t xml:space="preserve">North</t>
  </si>
  <si>
    <t xml:space="preserve">Airport</t>
  </si>
  <si>
    <t xml:space="preserve">STR-1004</t>
  </si>
  <si>
    <t xml:space="preserve">STR-1005</t>
  </si>
  <si>
    <t xml:space="preserve">South</t>
  </si>
  <si>
    <t xml:space="preserve">STR-1006</t>
  </si>
  <si>
    <t xml:space="preserve">STR-1007</t>
  </si>
  <si>
    <t xml:space="preserve">West</t>
  </si>
  <si>
    <t xml:space="preserve">Mall</t>
  </si>
  <si>
    <t xml:space="preserve">STR-1008</t>
  </si>
  <si>
    <t xml:space="preserve">STR-1009</t>
  </si>
  <si>
    <t xml:space="preserve">STR-1010</t>
  </si>
  <si>
    <t xml:space="preserve">STR-1011</t>
  </si>
  <si>
    <t xml:space="preserve">STR-1012</t>
  </si>
  <si>
    <t xml:space="preserve">STR-1013</t>
  </si>
  <si>
    <t xml:space="preserve">STR-1014</t>
  </si>
  <si>
    <t xml:space="preserve">STR-1015</t>
  </si>
  <si>
    <t xml:space="preserve">STR-1016</t>
  </si>
  <si>
    <t xml:space="preserve">STR-1017</t>
  </si>
  <si>
    <t xml:space="preserve">STR-1018</t>
  </si>
  <si>
    <t xml:space="preserve">STR-1019</t>
  </si>
  <si>
    <t xml:space="preserve">STR-1020</t>
  </si>
  <si>
    <t xml:space="preserve">STR-1021</t>
  </si>
  <si>
    <t xml:space="preserve">STR-1022</t>
  </si>
  <si>
    <t xml:space="preserve">STR-1023</t>
  </si>
  <si>
    <t xml:space="preserve">STR-1024</t>
  </si>
  <si>
    <t xml:space="preserve">STR-1025</t>
  </si>
  <si>
    <t xml:space="preserve">STR-1026</t>
  </si>
  <si>
    <t xml:space="preserve">STR-1027</t>
  </si>
  <si>
    <t xml:space="preserve">STR-1028</t>
  </si>
  <si>
    <t xml:space="preserve">STR-1029</t>
  </si>
  <si>
    <t xml:space="preserve">STR-1030</t>
  </si>
  <si>
    <t xml:space="preserve">STR-1031</t>
  </si>
  <si>
    <t xml:space="preserve">STR-1032</t>
  </si>
  <si>
    <t xml:space="preserve">STR-1033</t>
  </si>
  <si>
    <t xml:space="preserve">STR-1034</t>
  </si>
  <si>
    <t xml:space="preserve">STR-1035</t>
  </si>
  <si>
    <t xml:space="preserve">STR-1036</t>
  </si>
  <si>
    <t xml:space="preserve">STR-1037</t>
  </si>
  <si>
    <t xml:space="preserve">STR-1038</t>
  </si>
  <si>
    <t xml:space="preserve">STR-1039</t>
  </si>
  <si>
    <t xml:space="preserve">STR-1040</t>
  </si>
  <si>
    <t xml:space="preserve">STR-1041</t>
  </si>
  <si>
    <t xml:space="preserve">STR-1042</t>
  </si>
  <si>
    <t xml:space="preserve">STR-1043</t>
  </si>
  <si>
    <t xml:space="preserve">STR-1044</t>
  </si>
  <si>
    <t xml:space="preserve">STR-1045</t>
  </si>
  <si>
    <t xml:space="preserve">STR-1046</t>
  </si>
  <si>
    <t xml:space="preserve">STR-1047</t>
  </si>
  <si>
    <t xml:space="preserve">STR-1048</t>
  </si>
  <si>
    <t xml:space="preserve">STR-1049</t>
  </si>
  <si>
    <t xml:space="preserve">STR-1050</t>
  </si>
  <si>
    <t xml:space="preserve">STR-1051</t>
  </si>
  <si>
    <t xml:space="preserve">STR-1052</t>
  </si>
  <si>
    <t xml:space="preserve">STR-1053</t>
  </si>
  <si>
    <t xml:space="preserve">STR-1054</t>
  </si>
  <si>
    <t xml:space="preserve">STR-1055</t>
  </si>
  <si>
    <t xml:space="preserve">STR-1056</t>
  </si>
  <si>
    <t xml:space="preserve">STR-1057</t>
  </si>
  <si>
    <t xml:space="preserve">STR-1058</t>
  </si>
  <si>
    <t xml:space="preserve">STR-1059</t>
  </si>
  <si>
    <t xml:space="preserve">STR-1060</t>
  </si>
  <si>
    <t xml:space="preserve">STR-1061</t>
  </si>
  <si>
    <t xml:space="preserve">STR-1062</t>
  </si>
  <si>
    <t xml:space="preserve">STR-1063</t>
  </si>
  <si>
    <t xml:space="preserve">STR-1064</t>
  </si>
  <si>
    <t xml:space="preserve">STR-1065</t>
  </si>
  <si>
    <t xml:space="preserve">STR-1066</t>
  </si>
  <si>
    <t xml:space="preserve">STR-1067</t>
  </si>
  <si>
    <t xml:space="preserve">STR-1068</t>
  </si>
  <si>
    <t xml:space="preserve">STR-1069</t>
  </si>
  <si>
    <t xml:space="preserve">STR-1070</t>
  </si>
  <si>
    <t xml:space="preserve">STR-1071</t>
  </si>
  <si>
    <t xml:space="preserve">STR-1072</t>
  </si>
  <si>
    <t xml:space="preserve">STR-1073</t>
  </si>
  <si>
    <t xml:space="preserve">STR-1074</t>
  </si>
  <si>
    <t xml:space="preserve">STR-1075</t>
  </si>
  <si>
    <t xml:space="preserve">STR-1076</t>
  </si>
  <si>
    <t xml:space="preserve">STR-1077</t>
  </si>
  <si>
    <t xml:space="preserve">STR-1078</t>
  </si>
  <si>
    <t xml:space="preserve">STR-1079</t>
  </si>
  <si>
    <t xml:space="preserve">STR-1080</t>
  </si>
  <si>
    <t xml:space="preserve">Regression Model Comparison Summary</t>
  </si>
  <si>
    <t xml:space="preserve">All R-squared, coefficient and p-value figures are live LINEST()-based formulas computed directly from the embedded Data sheet in this workbook - this file is fully self-contained and does not link to any other file.</t>
  </si>
  <si>
    <t xml:space="preserve">Model</t>
  </si>
  <si>
    <t xml:space="preserve">Independent Variable(s)</t>
  </si>
  <si>
    <t xml:space="preserve">N</t>
  </si>
  <si>
    <t xml:space="preserve">R-squared</t>
  </si>
  <si>
    <t xml:space="preserve">Adj. R-squared</t>
  </si>
  <si>
    <t xml:space="preserve">Key p-value(s)</t>
  </si>
  <si>
    <t xml:space="preserve">Significant at 5%?</t>
  </si>
  <si>
    <t xml:space="preserve">Simple 1</t>
  </si>
  <si>
    <t xml:space="preserve">n/a (1 predictor)</t>
  </si>
  <si>
    <t xml:space="preserve">Simple 2</t>
  </si>
  <si>
    <t xml:space="preserve">Simple 3</t>
  </si>
  <si>
    <t xml:space="preserve">Simple 4</t>
  </si>
  <si>
    <t xml:space="preserve">Simple 5</t>
  </si>
  <si>
    <t xml:space="preserve">Multiple 1 (Core)</t>
  </si>
  <si>
    <t xml:space="preserve">footfall, marketing_spend, inventory_availability_pct, store_type dummies (3)</t>
  </si>
  <si>
    <t xml:space="preserve">Multiple 2 (Extended)</t>
  </si>
  <si>
    <t xml:space="preserve">Model 1 + avg_discount_pct + customer_rating</t>
  </si>
  <si>
    <t xml:space="preserve">FINAL MODEL SELECTED: Multiple 1 (Core) - see outputs/model_equations.md and analysis/model_comparison.md for full reasoning.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</si>
</sst>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"/>
    <numFmt numFmtId="166" formatCode="0.0000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1F4E78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C6E0B4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left" vertical="center" textRotation="0" wrapText="false" indent="1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1" width="13"/>
    <col collapsed="false" customWidth="true" hidden="false" outlineLevel="0" max="4" min="4" style="1" width="17"/>
    <col collapsed="false" customWidth="true" hidden="false" outlineLevel="0" max="5" min="5" style="1" width="13"/>
    <col collapsed="false" customWidth="true" hidden="false" outlineLevel="0" max="6" min="6" style="1" width="18"/>
    <col collapsed="false" customWidth="true" hidden="false" outlineLevel="0" max="7" min="7" style="1" width="28"/>
    <col collapsed="false" customWidth="true" hidden="false" outlineLevel="0" max="8" min="8" style="1" width="23"/>
    <col collapsed="false" customWidth="true" hidden="false" outlineLevel="0" max="9" min="9" style="1" width="15"/>
    <col collapsed="false" customWidth="true" hidden="false" outlineLevel="0" max="10" min="10" style="1" width="17"/>
    <col collapsed="false" customWidth="true" hidden="false" outlineLevel="0" max="11" min="11" style="1" width="24"/>
    <col collapsed="false" customWidth="true" hidden="false" outlineLevel="0" max="12" min="12" style="1" width="20"/>
    <col collapsed="false" customWidth="true" hidden="false" outlineLevel="0" max="21" min="16" style="1" width="16"/>
    <col collapsed="false" customWidth="true" hidden="false" outlineLevel="0" max="30" min="23" style="1" width="16"/>
  </cols>
  <sheetData>
    <row r="1" customFormat="false" ht="1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P2" s="4" t="s">
        <v>13</v>
      </c>
      <c r="Q2" s="4" t="s">
        <v>14</v>
      </c>
      <c r="R2" s="4" t="s">
        <v>15</v>
      </c>
      <c r="S2" s="4" t="s">
        <v>16</v>
      </c>
      <c r="T2" s="4" t="s">
        <v>17</v>
      </c>
      <c r="U2" s="4" t="s">
        <v>18</v>
      </c>
      <c r="W2" s="4" t="s">
        <v>19</v>
      </c>
      <c r="X2" s="4" t="s">
        <v>20</v>
      </c>
      <c r="Y2" s="4" t="s">
        <v>21</v>
      </c>
      <c r="Z2" s="4" t="s">
        <v>22</v>
      </c>
      <c r="AA2" s="4" t="s">
        <v>23</v>
      </c>
      <c r="AB2" s="4" t="s">
        <v>24</v>
      </c>
      <c r="AC2" s="4" t="s">
        <v>25</v>
      </c>
      <c r="AD2" s="4" t="s">
        <v>26</v>
      </c>
    </row>
    <row r="3" customFormat="false" ht="15" hidden="false" customHeight="false" outlineLevel="0" collapsed="false">
      <c r="A3" s="5" t="s">
        <v>27</v>
      </c>
      <c r="B3" s="5" t="s">
        <v>28</v>
      </c>
      <c r="C3" s="5" t="s">
        <v>29</v>
      </c>
      <c r="D3" s="5" t="n">
        <v>70389.11</v>
      </c>
      <c r="E3" s="5" t="n">
        <v>8302</v>
      </c>
      <c r="F3" s="5" t="n">
        <v>0.042</v>
      </c>
      <c r="G3" s="5" t="n">
        <v>75</v>
      </c>
      <c r="H3" s="5" t="n">
        <v>3.1</v>
      </c>
      <c r="I3" s="5" t="n">
        <v>658832.62</v>
      </c>
      <c r="J3" s="5" t="n">
        <v>0</v>
      </c>
      <c r="K3" s="5" t="n">
        <v>1</v>
      </c>
      <c r="L3" s="5" t="n">
        <v>0</v>
      </c>
      <c r="P3" s="1" t="n">
        <f aca="false">E3</f>
        <v>8302</v>
      </c>
      <c r="Q3" s="1" t="n">
        <f aca="false">D3</f>
        <v>70389.11</v>
      </c>
      <c r="R3" s="1" t="n">
        <f aca="false">G3</f>
        <v>75</v>
      </c>
      <c r="S3" s="1" t="n">
        <f aca="false">J3</f>
        <v>0</v>
      </c>
      <c r="T3" s="1" t="n">
        <f aca="false">K3</f>
        <v>1</v>
      </c>
      <c r="U3" s="1" t="n">
        <f aca="false">L3</f>
        <v>0</v>
      </c>
      <c r="W3" s="1" t="n">
        <f aca="false">E3</f>
        <v>8302</v>
      </c>
      <c r="X3" s="1" t="n">
        <f aca="false">D3</f>
        <v>70389.11</v>
      </c>
      <c r="Y3" s="1" t="n">
        <f aca="false">G3</f>
        <v>75</v>
      </c>
      <c r="Z3" s="1" t="n">
        <f aca="false">F3</f>
        <v>0.042</v>
      </c>
      <c r="AA3" s="1" t="n">
        <f aca="false">H3</f>
        <v>3.1</v>
      </c>
      <c r="AB3" s="1" t="n">
        <f aca="false">J3</f>
        <v>0</v>
      </c>
      <c r="AC3" s="1" t="n">
        <f aca="false">K3</f>
        <v>1</v>
      </c>
      <c r="AD3" s="1" t="n">
        <f aca="false">L3</f>
        <v>0</v>
      </c>
    </row>
    <row r="4" customFormat="false" ht="15" hidden="false" customHeight="false" outlineLevel="0" collapsed="false">
      <c r="A4" s="5" t="s">
        <v>27</v>
      </c>
      <c r="B4" s="5" t="s">
        <v>28</v>
      </c>
      <c r="C4" s="5" t="s">
        <v>29</v>
      </c>
      <c r="D4" s="5" t="n">
        <v>43827.89</v>
      </c>
      <c r="E4" s="5" t="n">
        <v>8487</v>
      </c>
      <c r="F4" s="5" t="n">
        <v>0.168</v>
      </c>
      <c r="G4" s="5" t="n">
        <v>84.4</v>
      </c>
      <c r="H4" s="5" t="n">
        <v>2.8</v>
      </c>
      <c r="I4" s="5" t="n">
        <v>634436</v>
      </c>
      <c r="J4" s="5" t="n">
        <v>0</v>
      </c>
      <c r="K4" s="5" t="n">
        <v>1</v>
      </c>
      <c r="L4" s="5" t="n">
        <v>0</v>
      </c>
      <c r="P4" s="1" t="n">
        <f aca="false">E4</f>
        <v>8487</v>
      </c>
      <c r="Q4" s="1" t="n">
        <f aca="false">D4</f>
        <v>43827.89</v>
      </c>
      <c r="R4" s="1" t="n">
        <f aca="false">G4</f>
        <v>84.4</v>
      </c>
      <c r="S4" s="1" t="n">
        <f aca="false">J4</f>
        <v>0</v>
      </c>
      <c r="T4" s="1" t="n">
        <f aca="false">K4</f>
        <v>1</v>
      </c>
      <c r="U4" s="1" t="n">
        <f aca="false">L4</f>
        <v>0</v>
      </c>
      <c r="W4" s="1" t="n">
        <f aca="false">E4</f>
        <v>8487</v>
      </c>
      <c r="X4" s="1" t="n">
        <f aca="false">D4</f>
        <v>43827.89</v>
      </c>
      <c r="Y4" s="1" t="n">
        <f aca="false">G4</f>
        <v>84.4</v>
      </c>
      <c r="Z4" s="1" t="n">
        <f aca="false">F4</f>
        <v>0.168</v>
      </c>
      <c r="AA4" s="1" t="n">
        <f aca="false">H4</f>
        <v>2.8</v>
      </c>
      <c r="AB4" s="1" t="n">
        <f aca="false">J4</f>
        <v>0</v>
      </c>
      <c r="AC4" s="1" t="n">
        <f aca="false">K4</f>
        <v>1</v>
      </c>
      <c r="AD4" s="1" t="n">
        <f aca="false">L4</f>
        <v>0</v>
      </c>
    </row>
    <row r="5" customFormat="false" ht="15" hidden="false" customHeight="false" outlineLevel="0" collapsed="false">
      <c r="A5" s="5" t="s">
        <v>27</v>
      </c>
      <c r="B5" s="5" t="s">
        <v>28</v>
      </c>
      <c r="C5" s="5" t="s">
        <v>29</v>
      </c>
      <c r="D5" s="5" t="n">
        <v>59921.75</v>
      </c>
      <c r="E5" s="5" t="n">
        <v>9113</v>
      </c>
      <c r="F5" s="5" t="n">
        <v>0.133</v>
      </c>
      <c r="G5" s="5" t="n">
        <v>88</v>
      </c>
      <c r="H5" s="5" t="n">
        <v>3.2</v>
      </c>
      <c r="I5" s="5" t="n">
        <v>678722.06</v>
      </c>
      <c r="J5" s="5" t="n">
        <v>0</v>
      </c>
      <c r="K5" s="5" t="n">
        <v>1</v>
      </c>
      <c r="L5" s="5" t="n">
        <v>0</v>
      </c>
      <c r="P5" s="1" t="n">
        <f aca="false">E5</f>
        <v>9113</v>
      </c>
      <c r="Q5" s="1" t="n">
        <f aca="false">D5</f>
        <v>59921.75</v>
      </c>
      <c r="R5" s="1" t="n">
        <f aca="false">G5</f>
        <v>88</v>
      </c>
      <c r="S5" s="1" t="n">
        <f aca="false">J5</f>
        <v>0</v>
      </c>
      <c r="T5" s="1" t="n">
        <f aca="false">K5</f>
        <v>1</v>
      </c>
      <c r="U5" s="1" t="n">
        <f aca="false">L5</f>
        <v>0</v>
      </c>
      <c r="W5" s="1" t="n">
        <f aca="false">E5</f>
        <v>9113</v>
      </c>
      <c r="X5" s="1" t="n">
        <f aca="false">D5</f>
        <v>59921.75</v>
      </c>
      <c r="Y5" s="1" t="n">
        <f aca="false">G5</f>
        <v>88</v>
      </c>
      <c r="Z5" s="1" t="n">
        <f aca="false">F5</f>
        <v>0.133</v>
      </c>
      <c r="AA5" s="1" t="n">
        <f aca="false">H5</f>
        <v>3.2</v>
      </c>
      <c r="AB5" s="1" t="n">
        <f aca="false">J5</f>
        <v>0</v>
      </c>
      <c r="AC5" s="1" t="n">
        <f aca="false">K5</f>
        <v>1</v>
      </c>
      <c r="AD5" s="1" t="n">
        <f aca="false">L5</f>
        <v>0</v>
      </c>
    </row>
    <row r="6" customFormat="false" ht="15" hidden="false" customHeight="false" outlineLevel="0" collapsed="false">
      <c r="A6" s="5" t="s">
        <v>27</v>
      </c>
      <c r="B6" s="5" t="s">
        <v>28</v>
      </c>
      <c r="C6" s="5" t="s">
        <v>29</v>
      </c>
      <c r="D6" s="5" t="n">
        <v>56856.63</v>
      </c>
      <c r="E6" s="5" t="n">
        <v>9431</v>
      </c>
      <c r="F6" s="5" t="n">
        <v>0.142</v>
      </c>
      <c r="G6" s="5" t="n">
        <v>86.9</v>
      </c>
      <c r="H6" s="5" t="n">
        <v>3.4</v>
      </c>
      <c r="I6" s="5" t="n">
        <v>658920.3</v>
      </c>
      <c r="J6" s="5" t="n">
        <v>0</v>
      </c>
      <c r="K6" s="5" t="n">
        <v>1</v>
      </c>
      <c r="L6" s="5" t="n">
        <v>0</v>
      </c>
      <c r="P6" s="1" t="n">
        <f aca="false">E6</f>
        <v>9431</v>
      </c>
      <c r="Q6" s="1" t="n">
        <f aca="false">D6</f>
        <v>56856.63</v>
      </c>
      <c r="R6" s="1" t="n">
        <f aca="false">G6</f>
        <v>86.9</v>
      </c>
      <c r="S6" s="1" t="n">
        <f aca="false">J6</f>
        <v>0</v>
      </c>
      <c r="T6" s="1" t="n">
        <f aca="false">K6</f>
        <v>1</v>
      </c>
      <c r="U6" s="1" t="n">
        <f aca="false">L6</f>
        <v>0</v>
      </c>
      <c r="W6" s="1" t="n">
        <f aca="false">E6</f>
        <v>9431</v>
      </c>
      <c r="X6" s="1" t="n">
        <f aca="false">D6</f>
        <v>56856.63</v>
      </c>
      <c r="Y6" s="1" t="n">
        <f aca="false">G6</f>
        <v>86.9</v>
      </c>
      <c r="Z6" s="1" t="n">
        <f aca="false">F6</f>
        <v>0.142</v>
      </c>
      <c r="AA6" s="1" t="n">
        <f aca="false">H6</f>
        <v>3.4</v>
      </c>
      <c r="AB6" s="1" t="n">
        <f aca="false">J6</f>
        <v>0</v>
      </c>
      <c r="AC6" s="1" t="n">
        <f aca="false">K6</f>
        <v>1</v>
      </c>
      <c r="AD6" s="1" t="n">
        <f aca="false">L6</f>
        <v>0</v>
      </c>
    </row>
    <row r="7" customFormat="false" ht="15" hidden="false" customHeight="false" outlineLevel="0" collapsed="false">
      <c r="A7" s="5" t="s">
        <v>30</v>
      </c>
      <c r="B7" s="5" t="s">
        <v>28</v>
      </c>
      <c r="C7" s="5" t="s">
        <v>31</v>
      </c>
      <c r="D7" s="5" t="n">
        <v>48412.64</v>
      </c>
      <c r="E7" s="5" t="n">
        <v>9545</v>
      </c>
      <c r="F7" s="5" t="n">
        <v>0.231</v>
      </c>
      <c r="G7" s="5" t="n">
        <v>97.6</v>
      </c>
      <c r="H7" s="5" t="n">
        <v>4.2</v>
      </c>
      <c r="I7" s="5" t="n">
        <v>741341.44</v>
      </c>
      <c r="J7" s="5" t="n">
        <v>0</v>
      </c>
      <c r="K7" s="5" t="n">
        <v>0</v>
      </c>
      <c r="L7" s="5" t="n">
        <v>0</v>
      </c>
      <c r="P7" s="1" t="n">
        <f aca="false">E7</f>
        <v>9545</v>
      </c>
      <c r="Q7" s="1" t="n">
        <f aca="false">D7</f>
        <v>48412.64</v>
      </c>
      <c r="R7" s="1" t="n">
        <f aca="false">G7</f>
        <v>97.6</v>
      </c>
      <c r="S7" s="1" t="n">
        <f aca="false">J7</f>
        <v>0</v>
      </c>
      <c r="T7" s="1" t="n">
        <f aca="false">K7</f>
        <v>0</v>
      </c>
      <c r="U7" s="1" t="n">
        <f aca="false">L7</f>
        <v>0</v>
      </c>
      <c r="W7" s="1" t="n">
        <f aca="false">E7</f>
        <v>9545</v>
      </c>
      <c r="X7" s="1" t="n">
        <f aca="false">D7</f>
        <v>48412.64</v>
      </c>
      <c r="Y7" s="1" t="n">
        <f aca="false">G7</f>
        <v>97.6</v>
      </c>
      <c r="Z7" s="1" t="n">
        <f aca="false">F7</f>
        <v>0.231</v>
      </c>
      <c r="AA7" s="1" t="n">
        <f aca="false">H7</f>
        <v>4.2</v>
      </c>
      <c r="AB7" s="1" t="n">
        <f aca="false">J7</f>
        <v>0</v>
      </c>
      <c r="AC7" s="1" t="n">
        <f aca="false">K7</f>
        <v>0</v>
      </c>
      <c r="AD7" s="1" t="n">
        <f aca="false">L7</f>
        <v>0</v>
      </c>
    </row>
    <row r="8" customFormat="false" ht="15" hidden="false" customHeight="false" outlineLevel="0" collapsed="false">
      <c r="A8" s="5" t="s">
        <v>30</v>
      </c>
      <c r="B8" s="5" t="s">
        <v>28</v>
      </c>
      <c r="C8" s="5" t="s">
        <v>31</v>
      </c>
      <c r="D8" s="5" t="n">
        <v>64811.21</v>
      </c>
      <c r="E8" s="5" t="n">
        <v>9792</v>
      </c>
      <c r="F8" s="5" t="n">
        <v>0.112</v>
      </c>
      <c r="G8" s="5" t="n">
        <v>84.2</v>
      </c>
      <c r="H8" s="5" t="n">
        <v>4.2</v>
      </c>
      <c r="I8" s="5" t="n">
        <v>761835.34</v>
      </c>
      <c r="J8" s="5" t="n">
        <v>0</v>
      </c>
      <c r="K8" s="5" t="n">
        <v>0</v>
      </c>
      <c r="L8" s="5" t="n">
        <v>0</v>
      </c>
      <c r="P8" s="1" t="n">
        <f aca="false">E8</f>
        <v>9792</v>
      </c>
      <c r="Q8" s="1" t="n">
        <f aca="false">D8</f>
        <v>64811.21</v>
      </c>
      <c r="R8" s="1" t="n">
        <f aca="false">G8</f>
        <v>84.2</v>
      </c>
      <c r="S8" s="1" t="n">
        <f aca="false">J8</f>
        <v>0</v>
      </c>
      <c r="T8" s="1" t="n">
        <f aca="false">K8</f>
        <v>0</v>
      </c>
      <c r="U8" s="1" t="n">
        <f aca="false">L8</f>
        <v>0</v>
      </c>
      <c r="W8" s="1" t="n">
        <f aca="false">E8</f>
        <v>9792</v>
      </c>
      <c r="X8" s="1" t="n">
        <f aca="false">D8</f>
        <v>64811.21</v>
      </c>
      <c r="Y8" s="1" t="n">
        <f aca="false">G8</f>
        <v>84.2</v>
      </c>
      <c r="Z8" s="1" t="n">
        <f aca="false">F8</f>
        <v>0.112</v>
      </c>
      <c r="AA8" s="1" t="n">
        <f aca="false">H8</f>
        <v>4.2</v>
      </c>
      <c r="AB8" s="1" t="n">
        <f aca="false">J8</f>
        <v>0</v>
      </c>
      <c r="AC8" s="1" t="n">
        <f aca="false">K8</f>
        <v>0</v>
      </c>
      <c r="AD8" s="1" t="n">
        <f aca="false">L8</f>
        <v>0</v>
      </c>
    </row>
    <row r="9" customFormat="false" ht="15" hidden="false" customHeight="false" outlineLevel="0" collapsed="false">
      <c r="A9" s="5" t="s">
        <v>30</v>
      </c>
      <c r="B9" s="5" t="s">
        <v>28</v>
      </c>
      <c r="C9" s="5" t="s">
        <v>31</v>
      </c>
      <c r="D9" s="5" t="n">
        <v>46213.45</v>
      </c>
      <c r="E9" s="5" t="n">
        <v>10616</v>
      </c>
      <c r="F9" s="5" t="n">
        <v>0.122</v>
      </c>
      <c r="G9" s="5" t="n">
        <v>85.2</v>
      </c>
      <c r="H9" s="5" t="n">
        <v>4.1</v>
      </c>
      <c r="I9" s="5" t="n">
        <v>806615.54</v>
      </c>
      <c r="J9" s="5" t="n">
        <v>0</v>
      </c>
      <c r="K9" s="5" t="n">
        <v>0</v>
      </c>
      <c r="L9" s="5" t="n">
        <v>0</v>
      </c>
      <c r="P9" s="1" t="n">
        <f aca="false">E9</f>
        <v>10616</v>
      </c>
      <c r="Q9" s="1" t="n">
        <f aca="false">D9</f>
        <v>46213.45</v>
      </c>
      <c r="R9" s="1" t="n">
        <f aca="false">G9</f>
        <v>85.2</v>
      </c>
      <c r="S9" s="1" t="n">
        <f aca="false">J9</f>
        <v>0</v>
      </c>
      <c r="T9" s="1" t="n">
        <f aca="false">K9</f>
        <v>0</v>
      </c>
      <c r="U9" s="1" t="n">
        <f aca="false">L9</f>
        <v>0</v>
      </c>
      <c r="W9" s="1" t="n">
        <f aca="false">E9</f>
        <v>10616</v>
      </c>
      <c r="X9" s="1" t="n">
        <f aca="false">D9</f>
        <v>46213.45</v>
      </c>
      <c r="Y9" s="1" t="n">
        <f aca="false">G9</f>
        <v>85.2</v>
      </c>
      <c r="Z9" s="1" t="n">
        <f aca="false">F9</f>
        <v>0.122</v>
      </c>
      <c r="AA9" s="1" t="n">
        <f aca="false">H9</f>
        <v>4.1</v>
      </c>
      <c r="AB9" s="1" t="n">
        <f aca="false">J9</f>
        <v>0</v>
      </c>
      <c r="AC9" s="1" t="n">
        <f aca="false">K9</f>
        <v>0</v>
      </c>
      <c r="AD9" s="1" t="n">
        <f aca="false">L9</f>
        <v>0</v>
      </c>
    </row>
    <row r="10" customFormat="false" ht="15" hidden="false" customHeight="false" outlineLevel="0" collapsed="false">
      <c r="A10" s="5" t="s">
        <v>30</v>
      </c>
      <c r="B10" s="5" t="s">
        <v>28</v>
      </c>
      <c r="C10" s="5" t="s">
        <v>31</v>
      </c>
      <c r="D10" s="5" t="n">
        <v>68148.52</v>
      </c>
      <c r="E10" s="5" t="n">
        <v>8567</v>
      </c>
      <c r="F10" s="5" t="n">
        <v>0.127</v>
      </c>
      <c r="G10" s="5" t="n">
        <v>95.6</v>
      </c>
      <c r="H10" s="5" t="n">
        <v>3.9</v>
      </c>
      <c r="I10" s="5" t="n">
        <v>850164.26</v>
      </c>
      <c r="J10" s="5" t="n">
        <v>0</v>
      </c>
      <c r="K10" s="5" t="n">
        <v>0</v>
      </c>
      <c r="L10" s="5" t="n">
        <v>0</v>
      </c>
      <c r="P10" s="1" t="n">
        <f aca="false">E10</f>
        <v>8567</v>
      </c>
      <c r="Q10" s="1" t="n">
        <f aca="false">D10</f>
        <v>68148.52</v>
      </c>
      <c r="R10" s="1" t="n">
        <f aca="false">G10</f>
        <v>95.6</v>
      </c>
      <c r="S10" s="1" t="n">
        <f aca="false">J10</f>
        <v>0</v>
      </c>
      <c r="T10" s="1" t="n">
        <f aca="false">K10</f>
        <v>0</v>
      </c>
      <c r="U10" s="1" t="n">
        <f aca="false">L10</f>
        <v>0</v>
      </c>
      <c r="W10" s="1" t="n">
        <f aca="false">E10</f>
        <v>8567</v>
      </c>
      <c r="X10" s="1" t="n">
        <f aca="false">D10</f>
        <v>68148.52</v>
      </c>
      <c r="Y10" s="1" t="n">
        <f aca="false">G10</f>
        <v>95.6</v>
      </c>
      <c r="Z10" s="1" t="n">
        <f aca="false">F10</f>
        <v>0.127</v>
      </c>
      <c r="AA10" s="1" t="n">
        <f aca="false">H10</f>
        <v>3.9</v>
      </c>
      <c r="AB10" s="1" t="n">
        <f aca="false">J10</f>
        <v>0</v>
      </c>
      <c r="AC10" s="1" t="n">
        <f aca="false">K10</f>
        <v>0</v>
      </c>
      <c r="AD10" s="1" t="n">
        <f aca="false">L10</f>
        <v>0</v>
      </c>
    </row>
    <row r="11" customFormat="false" ht="15" hidden="false" customHeight="false" outlineLevel="0" collapsed="false">
      <c r="A11" s="5" t="s">
        <v>32</v>
      </c>
      <c r="B11" s="5" t="s">
        <v>33</v>
      </c>
      <c r="C11" s="5" t="s">
        <v>34</v>
      </c>
      <c r="D11" s="5" t="n">
        <v>71838.86</v>
      </c>
      <c r="E11" s="5" t="n">
        <v>10979</v>
      </c>
      <c r="F11" s="5" t="n">
        <v>0.215</v>
      </c>
      <c r="G11" s="5" t="n">
        <v>88.6</v>
      </c>
      <c r="H11" s="5" t="n">
        <v>3.8</v>
      </c>
      <c r="I11" s="5" t="n">
        <v>930581.7</v>
      </c>
      <c r="J11" s="5" t="n">
        <v>0</v>
      </c>
      <c r="K11" s="5" t="n">
        <v>0</v>
      </c>
      <c r="L11" s="5" t="n">
        <v>1</v>
      </c>
      <c r="P11" s="1" t="n">
        <f aca="false">E11</f>
        <v>10979</v>
      </c>
      <c r="Q11" s="1" t="n">
        <f aca="false">D11</f>
        <v>71838.86</v>
      </c>
      <c r="R11" s="1" t="n">
        <f aca="false">G11</f>
        <v>88.6</v>
      </c>
      <c r="S11" s="1" t="n">
        <f aca="false">J11</f>
        <v>0</v>
      </c>
      <c r="T11" s="1" t="n">
        <f aca="false">K11</f>
        <v>0</v>
      </c>
      <c r="U11" s="1" t="n">
        <f aca="false">L11</f>
        <v>1</v>
      </c>
      <c r="W11" s="1" t="n">
        <f aca="false">E11</f>
        <v>10979</v>
      </c>
      <c r="X11" s="1" t="n">
        <f aca="false">D11</f>
        <v>71838.86</v>
      </c>
      <c r="Y11" s="1" t="n">
        <f aca="false">G11</f>
        <v>88.6</v>
      </c>
      <c r="Z11" s="1" t="n">
        <f aca="false">F11</f>
        <v>0.215</v>
      </c>
      <c r="AA11" s="1" t="n">
        <f aca="false">H11</f>
        <v>3.8</v>
      </c>
      <c r="AB11" s="1" t="n">
        <f aca="false">J11</f>
        <v>0</v>
      </c>
      <c r="AC11" s="1" t="n">
        <f aca="false">K11</f>
        <v>0</v>
      </c>
      <c r="AD11" s="1" t="n">
        <f aca="false">L11</f>
        <v>1</v>
      </c>
    </row>
    <row r="12" customFormat="false" ht="15" hidden="false" customHeight="false" outlineLevel="0" collapsed="false">
      <c r="A12" s="5" t="s">
        <v>32</v>
      </c>
      <c r="B12" s="5" t="s">
        <v>33</v>
      </c>
      <c r="C12" s="5" t="s">
        <v>34</v>
      </c>
      <c r="D12" s="5" t="n">
        <v>68133.44</v>
      </c>
      <c r="E12" s="5" t="n">
        <v>9459</v>
      </c>
      <c r="F12" s="5" t="n">
        <v>0.22</v>
      </c>
      <c r="G12" s="5" t="n">
        <v>85</v>
      </c>
      <c r="H12" s="5" t="n">
        <v>4.2</v>
      </c>
      <c r="I12" s="5" t="n">
        <v>779010.94</v>
      </c>
      <c r="J12" s="5" t="n">
        <v>0</v>
      </c>
      <c r="K12" s="5" t="n">
        <v>0</v>
      </c>
      <c r="L12" s="5" t="n">
        <v>1</v>
      </c>
      <c r="P12" s="1" t="n">
        <f aca="false">E12</f>
        <v>9459</v>
      </c>
      <c r="Q12" s="1" t="n">
        <f aca="false">D12</f>
        <v>68133.44</v>
      </c>
      <c r="R12" s="1" t="n">
        <f aca="false">G12</f>
        <v>85</v>
      </c>
      <c r="S12" s="1" t="n">
        <f aca="false">J12</f>
        <v>0</v>
      </c>
      <c r="T12" s="1" t="n">
        <f aca="false">K12</f>
        <v>0</v>
      </c>
      <c r="U12" s="1" t="n">
        <f aca="false">L12</f>
        <v>1</v>
      </c>
      <c r="W12" s="1" t="n">
        <f aca="false">E12</f>
        <v>9459</v>
      </c>
      <c r="X12" s="1" t="n">
        <f aca="false">D12</f>
        <v>68133.44</v>
      </c>
      <c r="Y12" s="1" t="n">
        <f aca="false">G12</f>
        <v>85</v>
      </c>
      <c r="Z12" s="1" t="n">
        <f aca="false">F12</f>
        <v>0.22</v>
      </c>
      <c r="AA12" s="1" t="n">
        <f aca="false">H12</f>
        <v>4.2</v>
      </c>
      <c r="AB12" s="1" t="n">
        <f aca="false">J12</f>
        <v>0</v>
      </c>
      <c r="AC12" s="1" t="n">
        <f aca="false">K12</f>
        <v>0</v>
      </c>
      <c r="AD12" s="1" t="n">
        <f aca="false">L12</f>
        <v>1</v>
      </c>
    </row>
    <row r="13" customFormat="false" ht="15" hidden="false" customHeight="false" outlineLevel="0" collapsed="false">
      <c r="A13" s="5" t="s">
        <v>32</v>
      </c>
      <c r="B13" s="5" t="s">
        <v>33</v>
      </c>
      <c r="C13" s="5" t="s">
        <v>34</v>
      </c>
      <c r="D13" s="5" t="n">
        <v>34285.21</v>
      </c>
      <c r="E13" s="5" t="n">
        <v>9172</v>
      </c>
      <c r="F13" s="5" t="n">
        <v>0.213</v>
      </c>
      <c r="G13" s="5" t="n">
        <v>88.3</v>
      </c>
      <c r="H13" s="5" t="n">
        <v>3.8</v>
      </c>
      <c r="I13" s="5" t="n">
        <v>723060.76</v>
      </c>
      <c r="J13" s="5" t="n">
        <v>0</v>
      </c>
      <c r="K13" s="5" t="n">
        <v>0</v>
      </c>
      <c r="L13" s="5" t="n">
        <v>1</v>
      </c>
      <c r="P13" s="1" t="n">
        <f aca="false">E13</f>
        <v>9172</v>
      </c>
      <c r="Q13" s="1" t="n">
        <f aca="false">D13</f>
        <v>34285.21</v>
      </c>
      <c r="R13" s="1" t="n">
        <f aca="false">G13</f>
        <v>88.3</v>
      </c>
      <c r="S13" s="1" t="n">
        <f aca="false">J13</f>
        <v>0</v>
      </c>
      <c r="T13" s="1" t="n">
        <f aca="false">K13</f>
        <v>0</v>
      </c>
      <c r="U13" s="1" t="n">
        <f aca="false">L13</f>
        <v>1</v>
      </c>
      <c r="W13" s="1" t="n">
        <f aca="false">E13</f>
        <v>9172</v>
      </c>
      <c r="X13" s="1" t="n">
        <f aca="false">D13</f>
        <v>34285.21</v>
      </c>
      <c r="Y13" s="1" t="n">
        <f aca="false">G13</f>
        <v>88.3</v>
      </c>
      <c r="Z13" s="1" t="n">
        <f aca="false">F13</f>
        <v>0.213</v>
      </c>
      <c r="AA13" s="1" t="n">
        <f aca="false">H13</f>
        <v>3.8</v>
      </c>
      <c r="AB13" s="1" t="n">
        <f aca="false">J13</f>
        <v>0</v>
      </c>
      <c r="AC13" s="1" t="n">
        <f aca="false">K13</f>
        <v>0</v>
      </c>
      <c r="AD13" s="1" t="n">
        <f aca="false">L13</f>
        <v>1</v>
      </c>
    </row>
    <row r="14" customFormat="false" ht="15" hidden="false" customHeight="false" outlineLevel="0" collapsed="false">
      <c r="A14" s="5" t="s">
        <v>32</v>
      </c>
      <c r="B14" s="5" t="s">
        <v>33</v>
      </c>
      <c r="C14" s="5" t="s">
        <v>34</v>
      </c>
      <c r="D14" s="5" t="n">
        <v>67979.88</v>
      </c>
      <c r="E14" s="5" t="n">
        <v>11230</v>
      </c>
      <c r="F14" s="5" t="n">
        <v>0.002</v>
      </c>
      <c r="G14" s="5" t="n">
        <v>85.3</v>
      </c>
      <c r="H14" s="5" t="n">
        <v>3.8</v>
      </c>
      <c r="I14" s="5" t="n">
        <v>910791.94</v>
      </c>
      <c r="J14" s="5" t="n">
        <v>0</v>
      </c>
      <c r="K14" s="5" t="n">
        <v>0</v>
      </c>
      <c r="L14" s="5" t="n">
        <v>1</v>
      </c>
      <c r="P14" s="1" t="n">
        <f aca="false">E14</f>
        <v>11230</v>
      </c>
      <c r="Q14" s="1" t="n">
        <f aca="false">D14</f>
        <v>67979.88</v>
      </c>
      <c r="R14" s="1" t="n">
        <f aca="false">G14</f>
        <v>85.3</v>
      </c>
      <c r="S14" s="1" t="n">
        <f aca="false">J14</f>
        <v>0</v>
      </c>
      <c r="T14" s="1" t="n">
        <f aca="false">K14</f>
        <v>0</v>
      </c>
      <c r="U14" s="1" t="n">
        <f aca="false">L14</f>
        <v>1</v>
      </c>
      <c r="W14" s="1" t="n">
        <f aca="false">E14</f>
        <v>11230</v>
      </c>
      <c r="X14" s="1" t="n">
        <f aca="false">D14</f>
        <v>67979.88</v>
      </c>
      <c r="Y14" s="1" t="n">
        <f aca="false">G14</f>
        <v>85.3</v>
      </c>
      <c r="Z14" s="1" t="n">
        <f aca="false">F14</f>
        <v>0.002</v>
      </c>
      <c r="AA14" s="1" t="n">
        <f aca="false">H14</f>
        <v>3.8</v>
      </c>
      <c r="AB14" s="1" t="n">
        <f aca="false">J14</f>
        <v>0</v>
      </c>
      <c r="AC14" s="1" t="n">
        <f aca="false">K14</f>
        <v>0</v>
      </c>
      <c r="AD14" s="1" t="n">
        <f aca="false">L14</f>
        <v>1</v>
      </c>
    </row>
    <row r="15" customFormat="false" ht="15" hidden="false" customHeight="false" outlineLevel="0" collapsed="false">
      <c r="A15" s="5" t="s">
        <v>35</v>
      </c>
      <c r="B15" s="5" t="s">
        <v>28</v>
      </c>
      <c r="C15" s="5" t="s">
        <v>29</v>
      </c>
      <c r="D15" s="5" t="n">
        <v>71828.26</v>
      </c>
      <c r="E15" s="5" t="n">
        <v>12775</v>
      </c>
      <c r="F15" s="5" t="n">
        <v>0.116</v>
      </c>
      <c r="G15" s="5" t="n">
        <v>81.7</v>
      </c>
      <c r="H15" s="5" t="n">
        <v>4.2</v>
      </c>
      <c r="I15" s="5" t="n">
        <v>922168.6</v>
      </c>
      <c r="J15" s="5" t="n">
        <v>0</v>
      </c>
      <c r="K15" s="5" t="n">
        <v>1</v>
      </c>
      <c r="L15" s="5" t="n">
        <v>0</v>
      </c>
      <c r="P15" s="1" t="n">
        <f aca="false">E15</f>
        <v>12775</v>
      </c>
      <c r="Q15" s="1" t="n">
        <f aca="false">D15</f>
        <v>71828.26</v>
      </c>
      <c r="R15" s="1" t="n">
        <f aca="false">G15</f>
        <v>81.7</v>
      </c>
      <c r="S15" s="1" t="n">
        <f aca="false">J15</f>
        <v>0</v>
      </c>
      <c r="T15" s="1" t="n">
        <f aca="false">K15</f>
        <v>1</v>
      </c>
      <c r="U15" s="1" t="n">
        <f aca="false">L15</f>
        <v>0</v>
      </c>
      <c r="W15" s="1" t="n">
        <f aca="false">E15</f>
        <v>12775</v>
      </c>
      <c r="X15" s="1" t="n">
        <f aca="false">D15</f>
        <v>71828.26</v>
      </c>
      <c r="Y15" s="1" t="n">
        <f aca="false">G15</f>
        <v>81.7</v>
      </c>
      <c r="Z15" s="1" t="n">
        <f aca="false">F15</f>
        <v>0.116</v>
      </c>
      <c r="AA15" s="1" t="n">
        <f aca="false">H15</f>
        <v>4.2</v>
      </c>
      <c r="AB15" s="1" t="n">
        <f aca="false">J15</f>
        <v>0</v>
      </c>
      <c r="AC15" s="1" t="n">
        <f aca="false">K15</f>
        <v>1</v>
      </c>
      <c r="AD15" s="1" t="n">
        <f aca="false">L15</f>
        <v>0</v>
      </c>
    </row>
    <row r="16" customFormat="false" ht="15" hidden="false" customHeight="false" outlineLevel="0" collapsed="false">
      <c r="A16" s="5" t="s">
        <v>35</v>
      </c>
      <c r="B16" s="5" t="s">
        <v>28</v>
      </c>
      <c r="C16" s="5" t="s">
        <v>29</v>
      </c>
      <c r="D16" s="5" t="n">
        <v>55716.82</v>
      </c>
      <c r="E16" s="5" t="n">
        <v>10054</v>
      </c>
      <c r="F16" s="5" t="n">
        <v>0.146</v>
      </c>
      <c r="G16" s="5" t="n">
        <v>84.9</v>
      </c>
      <c r="H16" s="5" t="n">
        <v>4.3</v>
      </c>
      <c r="I16" s="5" t="n">
        <v>726606.28</v>
      </c>
      <c r="J16" s="5" t="n">
        <v>0</v>
      </c>
      <c r="K16" s="5" t="n">
        <v>1</v>
      </c>
      <c r="L16" s="5" t="n">
        <v>0</v>
      </c>
      <c r="P16" s="1" t="n">
        <f aca="false">E16</f>
        <v>10054</v>
      </c>
      <c r="Q16" s="1" t="n">
        <f aca="false">D16</f>
        <v>55716.82</v>
      </c>
      <c r="R16" s="1" t="n">
        <f aca="false">G16</f>
        <v>84.9</v>
      </c>
      <c r="S16" s="1" t="n">
        <f aca="false">J16</f>
        <v>0</v>
      </c>
      <c r="T16" s="1" t="n">
        <f aca="false">K16</f>
        <v>1</v>
      </c>
      <c r="U16" s="1" t="n">
        <f aca="false">L16</f>
        <v>0</v>
      </c>
      <c r="W16" s="1" t="n">
        <f aca="false">E16</f>
        <v>10054</v>
      </c>
      <c r="X16" s="1" t="n">
        <f aca="false">D16</f>
        <v>55716.82</v>
      </c>
      <c r="Y16" s="1" t="n">
        <f aca="false">G16</f>
        <v>84.9</v>
      </c>
      <c r="Z16" s="1" t="n">
        <f aca="false">F16</f>
        <v>0.146</v>
      </c>
      <c r="AA16" s="1" t="n">
        <f aca="false">H16</f>
        <v>4.3</v>
      </c>
      <c r="AB16" s="1" t="n">
        <f aca="false">J16</f>
        <v>0</v>
      </c>
      <c r="AC16" s="1" t="n">
        <f aca="false">K16</f>
        <v>1</v>
      </c>
      <c r="AD16" s="1" t="n">
        <f aca="false">L16</f>
        <v>0</v>
      </c>
    </row>
    <row r="17" customFormat="false" ht="15" hidden="false" customHeight="false" outlineLevel="0" collapsed="false">
      <c r="A17" s="5" t="s">
        <v>35</v>
      </c>
      <c r="B17" s="5" t="s">
        <v>28</v>
      </c>
      <c r="C17" s="5" t="s">
        <v>29</v>
      </c>
      <c r="D17" s="5" t="n">
        <v>59909.51</v>
      </c>
      <c r="E17" s="5" t="n">
        <v>8895</v>
      </c>
      <c r="F17" s="5" t="n">
        <v>0.228</v>
      </c>
      <c r="G17" s="5" t="n">
        <v>88.8</v>
      </c>
      <c r="H17" s="5" t="n">
        <v>4.3</v>
      </c>
      <c r="I17" s="5" t="n">
        <v>746501.09</v>
      </c>
      <c r="J17" s="5" t="n">
        <v>0</v>
      </c>
      <c r="K17" s="5" t="n">
        <v>1</v>
      </c>
      <c r="L17" s="5" t="n">
        <v>0</v>
      </c>
      <c r="P17" s="1" t="n">
        <f aca="false">E17</f>
        <v>8895</v>
      </c>
      <c r="Q17" s="1" t="n">
        <f aca="false">D17</f>
        <v>59909.51</v>
      </c>
      <c r="R17" s="1" t="n">
        <f aca="false">G17</f>
        <v>88.8</v>
      </c>
      <c r="S17" s="1" t="n">
        <f aca="false">J17</f>
        <v>0</v>
      </c>
      <c r="T17" s="1" t="n">
        <f aca="false">K17</f>
        <v>1</v>
      </c>
      <c r="U17" s="1" t="n">
        <f aca="false">L17</f>
        <v>0</v>
      </c>
      <c r="W17" s="1" t="n">
        <f aca="false">E17</f>
        <v>8895</v>
      </c>
      <c r="X17" s="1" t="n">
        <f aca="false">D17</f>
        <v>59909.51</v>
      </c>
      <c r="Y17" s="1" t="n">
        <f aca="false">G17</f>
        <v>88.8</v>
      </c>
      <c r="Z17" s="1" t="n">
        <f aca="false">F17</f>
        <v>0.228</v>
      </c>
      <c r="AA17" s="1" t="n">
        <f aca="false">H17</f>
        <v>4.3</v>
      </c>
      <c r="AB17" s="1" t="n">
        <f aca="false">J17</f>
        <v>0</v>
      </c>
      <c r="AC17" s="1" t="n">
        <f aca="false">K17</f>
        <v>1</v>
      </c>
      <c r="AD17" s="1" t="n">
        <f aca="false">L17</f>
        <v>0</v>
      </c>
    </row>
    <row r="18" customFormat="false" ht="15" hidden="false" customHeight="false" outlineLevel="0" collapsed="false">
      <c r="A18" s="5" t="s">
        <v>35</v>
      </c>
      <c r="B18" s="5" t="s">
        <v>28</v>
      </c>
      <c r="C18" s="5" t="s">
        <v>29</v>
      </c>
      <c r="D18" s="5" t="n">
        <v>75305.71</v>
      </c>
      <c r="E18" s="5" t="n">
        <v>10940</v>
      </c>
      <c r="F18" s="5" t="n">
        <v>0.006</v>
      </c>
      <c r="G18" s="5" t="n">
        <v>76.5</v>
      </c>
      <c r="H18" s="5" t="n">
        <v>4.5</v>
      </c>
      <c r="I18" s="5" t="n">
        <v>834017.02</v>
      </c>
      <c r="J18" s="5" t="n">
        <v>0</v>
      </c>
      <c r="K18" s="5" t="n">
        <v>1</v>
      </c>
      <c r="L18" s="5" t="n">
        <v>0</v>
      </c>
      <c r="P18" s="1" t="n">
        <f aca="false">E18</f>
        <v>10940</v>
      </c>
      <c r="Q18" s="1" t="n">
        <f aca="false">D18</f>
        <v>75305.71</v>
      </c>
      <c r="R18" s="1" t="n">
        <f aca="false">G18</f>
        <v>76.5</v>
      </c>
      <c r="S18" s="1" t="n">
        <f aca="false">J18</f>
        <v>0</v>
      </c>
      <c r="T18" s="1" t="n">
        <f aca="false">K18</f>
        <v>1</v>
      </c>
      <c r="U18" s="1" t="n">
        <f aca="false">L18</f>
        <v>0</v>
      </c>
      <c r="W18" s="1" t="n">
        <f aca="false">E18</f>
        <v>10940</v>
      </c>
      <c r="X18" s="1" t="n">
        <f aca="false">D18</f>
        <v>75305.71</v>
      </c>
      <c r="Y18" s="1" t="n">
        <f aca="false">G18</f>
        <v>76.5</v>
      </c>
      <c r="Z18" s="1" t="n">
        <f aca="false">F18</f>
        <v>0.006</v>
      </c>
      <c r="AA18" s="1" t="n">
        <f aca="false">H18</f>
        <v>4.5</v>
      </c>
      <c r="AB18" s="1" t="n">
        <f aca="false">J18</f>
        <v>0</v>
      </c>
      <c r="AC18" s="1" t="n">
        <f aca="false">K18</f>
        <v>1</v>
      </c>
      <c r="AD18" s="1" t="n">
        <f aca="false">L18</f>
        <v>0</v>
      </c>
    </row>
    <row r="19" customFormat="false" ht="15" hidden="false" customHeight="false" outlineLevel="0" collapsed="false">
      <c r="A19" s="5" t="s">
        <v>36</v>
      </c>
      <c r="B19" s="5" t="s">
        <v>37</v>
      </c>
      <c r="C19" s="5" t="s">
        <v>29</v>
      </c>
      <c r="D19" s="5" t="n">
        <v>48804.22</v>
      </c>
      <c r="E19" s="5" t="n">
        <v>7057</v>
      </c>
      <c r="F19" s="5" t="n">
        <v>0.005</v>
      </c>
      <c r="G19" s="5" t="n">
        <v>87.7</v>
      </c>
      <c r="H19" s="5" t="n">
        <v>3.7</v>
      </c>
      <c r="I19" s="5" t="n">
        <v>666152.52</v>
      </c>
      <c r="J19" s="5" t="n">
        <v>0</v>
      </c>
      <c r="K19" s="5" t="n">
        <v>1</v>
      </c>
      <c r="L19" s="5" t="n">
        <v>0</v>
      </c>
      <c r="P19" s="1" t="n">
        <f aca="false">E19</f>
        <v>7057</v>
      </c>
      <c r="Q19" s="1" t="n">
        <f aca="false">D19</f>
        <v>48804.22</v>
      </c>
      <c r="R19" s="1" t="n">
        <f aca="false">G19</f>
        <v>87.7</v>
      </c>
      <c r="S19" s="1" t="n">
        <f aca="false">J19</f>
        <v>0</v>
      </c>
      <c r="T19" s="1" t="n">
        <f aca="false">K19</f>
        <v>1</v>
      </c>
      <c r="U19" s="1" t="n">
        <f aca="false">L19</f>
        <v>0</v>
      </c>
      <c r="W19" s="1" t="n">
        <f aca="false">E19</f>
        <v>7057</v>
      </c>
      <c r="X19" s="1" t="n">
        <f aca="false">D19</f>
        <v>48804.22</v>
      </c>
      <c r="Y19" s="1" t="n">
        <f aca="false">G19</f>
        <v>87.7</v>
      </c>
      <c r="Z19" s="1" t="n">
        <f aca="false">F19</f>
        <v>0.005</v>
      </c>
      <c r="AA19" s="1" t="n">
        <f aca="false">H19</f>
        <v>3.7</v>
      </c>
      <c r="AB19" s="1" t="n">
        <f aca="false">J19</f>
        <v>0</v>
      </c>
      <c r="AC19" s="1" t="n">
        <f aca="false">K19</f>
        <v>1</v>
      </c>
      <c r="AD19" s="1" t="n">
        <f aca="false">L19</f>
        <v>0</v>
      </c>
    </row>
    <row r="20" customFormat="false" ht="15" hidden="false" customHeight="false" outlineLevel="0" collapsed="false">
      <c r="A20" s="5" t="s">
        <v>36</v>
      </c>
      <c r="B20" s="5" t="s">
        <v>37</v>
      </c>
      <c r="C20" s="5" t="s">
        <v>29</v>
      </c>
      <c r="D20" s="5" t="n">
        <v>59117.9</v>
      </c>
      <c r="E20" s="5" t="n">
        <v>4263</v>
      </c>
      <c r="F20" s="5" t="n">
        <v>0.119</v>
      </c>
      <c r="G20" s="5" t="n">
        <v>87.6</v>
      </c>
      <c r="H20" s="5" t="n">
        <v>3.6</v>
      </c>
      <c r="I20" s="5" t="n">
        <v>573155.19</v>
      </c>
      <c r="J20" s="5" t="n">
        <v>0</v>
      </c>
      <c r="K20" s="5" t="n">
        <v>1</v>
      </c>
      <c r="L20" s="5" t="n">
        <v>0</v>
      </c>
      <c r="P20" s="1" t="n">
        <f aca="false">E20</f>
        <v>4263</v>
      </c>
      <c r="Q20" s="1" t="n">
        <f aca="false">D20</f>
        <v>59117.9</v>
      </c>
      <c r="R20" s="1" t="n">
        <f aca="false">G20</f>
        <v>87.6</v>
      </c>
      <c r="S20" s="1" t="n">
        <f aca="false">J20</f>
        <v>0</v>
      </c>
      <c r="T20" s="1" t="n">
        <f aca="false">K20</f>
        <v>1</v>
      </c>
      <c r="U20" s="1" t="n">
        <f aca="false">L20</f>
        <v>0</v>
      </c>
      <c r="W20" s="1" t="n">
        <f aca="false">E20</f>
        <v>4263</v>
      </c>
      <c r="X20" s="1" t="n">
        <f aca="false">D20</f>
        <v>59117.9</v>
      </c>
      <c r="Y20" s="1" t="n">
        <f aca="false">G20</f>
        <v>87.6</v>
      </c>
      <c r="Z20" s="1" t="n">
        <f aca="false">F20</f>
        <v>0.119</v>
      </c>
      <c r="AA20" s="1" t="n">
        <f aca="false">H20</f>
        <v>3.6</v>
      </c>
      <c r="AB20" s="1" t="n">
        <f aca="false">J20</f>
        <v>0</v>
      </c>
      <c r="AC20" s="1" t="n">
        <f aca="false">K20</f>
        <v>1</v>
      </c>
      <c r="AD20" s="1" t="n">
        <f aca="false">L20</f>
        <v>0</v>
      </c>
    </row>
    <row r="21" customFormat="false" ht="15" hidden="false" customHeight="false" outlineLevel="0" collapsed="false">
      <c r="A21" s="5" t="s">
        <v>36</v>
      </c>
      <c r="B21" s="5" t="s">
        <v>37</v>
      </c>
      <c r="C21" s="5" t="s">
        <v>29</v>
      </c>
      <c r="D21" s="5" t="n">
        <v>78831.12</v>
      </c>
      <c r="E21" s="5" t="n">
        <v>5538</v>
      </c>
      <c r="F21" s="5" t="n">
        <v>0</v>
      </c>
      <c r="G21" s="5" t="n">
        <v>94.1</v>
      </c>
      <c r="H21" s="5" t="n">
        <v>3.9</v>
      </c>
      <c r="I21" s="5" t="n">
        <v>666573.2</v>
      </c>
      <c r="J21" s="5" t="n">
        <v>0</v>
      </c>
      <c r="K21" s="5" t="n">
        <v>1</v>
      </c>
      <c r="L21" s="5" t="n">
        <v>0</v>
      </c>
      <c r="P21" s="1" t="n">
        <f aca="false">E21</f>
        <v>5538</v>
      </c>
      <c r="Q21" s="1" t="n">
        <f aca="false">D21</f>
        <v>78831.12</v>
      </c>
      <c r="R21" s="1" t="n">
        <f aca="false">G21</f>
        <v>94.1</v>
      </c>
      <c r="S21" s="1" t="n">
        <f aca="false">J21</f>
        <v>0</v>
      </c>
      <c r="T21" s="1" t="n">
        <f aca="false">K21</f>
        <v>1</v>
      </c>
      <c r="U21" s="1" t="n">
        <f aca="false">L21</f>
        <v>0</v>
      </c>
      <c r="W21" s="1" t="n">
        <f aca="false">E21</f>
        <v>5538</v>
      </c>
      <c r="X21" s="1" t="n">
        <f aca="false">D21</f>
        <v>78831.12</v>
      </c>
      <c r="Y21" s="1" t="n">
        <f aca="false">G21</f>
        <v>94.1</v>
      </c>
      <c r="Z21" s="1" t="n">
        <f aca="false">F21</f>
        <v>0</v>
      </c>
      <c r="AA21" s="1" t="n">
        <f aca="false">H21</f>
        <v>3.9</v>
      </c>
      <c r="AB21" s="1" t="n">
        <f aca="false">J21</f>
        <v>0</v>
      </c>
      <c r="AC21" s="1" t="n">
        <f aca="false">K21</f>
        <v>1</v>
      </c>
      <c r="AD21" s="1" t="n">
        <f aca="false">L21</f>
        <v>0</v>
      </c>
    </row>
    <row r="22" customFormat="false" ht="15" hidden="false" customHeight="false" outlineLevel="0" collapsed="false">
      <c r="A22" s="5" t="s">
        <v>36</v>
      </c>
      <c r="B22" s="5" t="s">
        <v>37</v>
      </c>
      <c r="C22" s="5" t="s">
        <v>29</v>
      </c>
      <c r="D22" s="5" t="n">
        <v>41441.93</v>
      </c>
      <c r="E22" s="5" t="n">
        <v>4865</v>
      </c>
      <c r="F22" s="5" t="n">
        <v>0.158</v>
      </c>
      <c r="G22" s="5" t="n">
        <v>88.3</v>
      </c>
      <c r="H22" s="5" t="n">
        <v>4</v>
      </c>
      <c r="I22" s="5" t="n">
        <v>591619.95</v>
      </c>
      <c r="J22" s="5" t="n">
        <v>0</v>
      </c>
      <c r="K22" s="5" t="n">
        <v>1</v>
      </c>
      <c r="L22" s="5" t="n">
        <v>0</v>
      </c>
      <c r="P22" s="1" t="n">
        <f aca="false">E22</f>
        <v>4865</v>
      </c>
      <c r="Q22" s="1" t="n">
        <f aca="false">D22</f>
        <v>41441.93</v>
      </c>
      <c r="R22" s="1" t="n">
        <f aca="false">G22</f>
        <v>88.3</v>
      </c>
      <c r="S22" s="1" t="n">
        <f aca="false">J22</f>
        <v>0</v>
      </c>
      <c r="T22" s="1" t="n">
        <f aca="false">K22</f>
        <v>1</v>
      </c>
      <c r="U22" s="1" t="n">
        <f aca="false">L22</f>
        <v>0</v>
      </c>
      <c r="W22" s="1" t="n">
        <f aca="false">E22</f>
        <v>4865</v>
      </c>
      <c r="X22" s="1" t="n">
        <f aca="false">D22</f>
        <v>41441.93</v>
      </c>
      <c r="Y22" s="1" t="n">
        <f aca="false">G22</f>
        <v>88.3</v>
      </c>
      <c r="Z22" s="1" t="n">
        <f aca="false">F22</f>
        <v>0.158</v>
      </c>
      <c r="AA22" s="1" t="n">
        <f aca="false">H22</f>
        <v>4</v>
      </c>
      <c r="AB22" s="1" t="n">
        <f aca="false">J22</f>
        <v>0</v>
      </c>
      <c r="AC22" s="1" t="n">
        <f aca="false">K22</f>
        <v>1</v>
      </c>
      <c r="AD22" s="1" t="n">
        <f aca="false">L22</f>
        <v>0</v>
      </c>
    </row>
    <row r="23" customFormat="false" ht="15" hidden="false" customHeight="false" outlineLevel="0" collapsed="false">
      <c r="A23" s="5" t="s">
        <v>38</v>
      </c>
      <c r="B23" s="5" t="s">
        <v>33</v>
      </c>
      <c r="C23" s="5" t="s">
        <v>29</v>
      </c>
      <c r="D23" s="5" t="n">
        <v>30356.28</v>
      </c>
      <c r="E23" s="5" t="n">
        <v>2822</v>
      </c>
      <c r="F23" s="5" t="n">
        <v>0.231</v>
      </c>
      <c r="G23" s="5" t="n">
        <v>84.8</v>
      </c>
      <c r="H23" s="5" t="n">
        <v>5</v>
      </c>
      <c r="I23" s="5" t="n">
        <v>415721.82</v>
      </c>
      <c r="J23" s="5" t="n">
        <v>0</v>
      </c>
      <c r="K23" s="5" t="n">
        <v>1</v>
      </c>
      <c r="L23" s="5" t="n">
        <v>0</v>
      </c>
      <c r="P23" s="1" t="n">
        <f aca="false">E23</f>
        <v>2822</v>
      </c>
      <c r="Q23" s="1" t="n">
        <f aca="false">D23</f>
        <v>30356.28</v>
      </c>
      <c r="R23" s="1" t="n">
        <f aca="false">G23</f>
        <v>84.8</v>
      </c>
      <c r="S23" s="1" t="n">
        <f aca="false">J23</f>
        <v>0</v>
      </c>
      <c r="T23" s="1" t="n">
        <f aca="false">K23</f>
        <v>1</v>
      </c>
      <c r="U23" s="1" t="n">
        <f aca="false">L23</f>
        <v>0</v>
      </c>
      <c r="W23" s="1" t="n">
        <f aca="false">E23</f>
        <v>2822</v>
      </c>
      <c r="X23" s="1" t="n">
        <f aca="false">D23</f>
        <v>30356.28</v>
      </c>
      <c r="Y23" s="1" t="n">
        <f aca="false">G23</f>
        <v>84.8</v>
      </c>
      <c r="Z23" s="1" t="n">
        <f aca="false">F23</f>
        <v>0.231</v>
      </c>
      <c r="AA23" s="1" t="n">
        <f aca="false">H23</f>
        <v>5</v>
      </c>
      <c r="AB23" s="1" t="n">
        <f aca="false">J23</f>
        <v>0</v>
      </c>
      <c r="AC23" s="1" t="n">
        <f aca="false">K23</f>
        <v>1</v>
      </c>
      <c r="AD23" s="1" t="n">
        <f aca="false">L23</f>
        <v>0</v>
      </c>
    </row>
    <row r="24" customFormat="false" ht="15" hidden="false" customHeight="false" outlineLevel="0" collapsed="false">
      <c r="A24" s="5" t="s">
        <v>38</v>
      </c>
      <c r="B24" s="5" t="s">
        <v>33</v>
      </c>
      <c r="C24" s="5" t="s">
        <v>29</v>
      </c>
      <c r="D24" s="5" t="n">
        <v>33518.88</v>
      </c>
      <c r="E24" s="5" t="n">
        <v>2121</v>
      </c>
      <c r="F24" s="5" t="n">
        <v>0.176</v>
      </c>
      <c r="G24" s="5" t="n">
        <v>88.5</v>
      </c>
      <c r="H24" s="5" t="n">
        <v>5</v>
      </c>
      <c r="I24" s="5" t="n">
        <v>491905.13</v>
      </c>
      <c r="J24" s="5" t="n">
        <v>0</v>
      </c>
      <c r="K24" s="5" t="n">
        <v>1</v>
      </c>
      <c r="L24" s="5" t="n">
        <v>0</v>
      </c>
      <c r="P24" s="1" t="n">
        <f aca="false">E24</f>
        <v>2121</v>
      </c>
      <c r="Q24" s="1" t="n">
        <f aca="false">D24</f>
        <v>33518.88</v>
      </c>
      <c r="R24" s="1" t="n">
        <f aca="false">G24</f>
        <v>88.5</v>
      </c>
      <c r="S24" s="1" t="n">
        <f aca="false">J24</f>
        <v>0</v>
      </c>
      <c r="T24" s="1" t="n">
        <f aca="false">K24</f>
        <v>1</v>
      </c>
      <c r="U24" s="1" t="n">
        <f aca="false">L24</f>
        <v>0</v>
      </c>
      <c r="W24" s="1" t="n">
        <f aca="false">E24</f>
        <v>2121</v>
      </c>
      <c r="X24" s="1" t="n">
        <f aca="false">D24</f>
        <v>33518.88</v>
      </c>
      <c r="Y24" s="1" t="n">
        <f aca="false">G24</f>
        <v>88.5</v>
      </c>
      <c r="Z24" s="1" t="n">
        <f aca="false">F24</f>
        <v>0.176</v>
      </c>
      <c r="AA24" s="1" t="n">
        <f aca="false">H24</f>
        <v>5</v>
      </c>
      <c r="AB24" s="1" t="n">
        <f aca="false">J24</f>
        <v>0</v>
      </c>
      <c r="AC24" s="1" t="n">
        <f aca="false">K24</f>
        <v>1</v>
      </c>
      <c r="AD24" s="1" t="n">
        <f aca="false">L24</f>
        <v>0</v>
      </c>
    </row>
    <row r="25" customFormat="false" ht="15" hidden="false" customHeight="false" outlineLevel="0" collapsed="false">
      <c r="A25" s="5" t="s">
        <v>38</v>
      </c>
      <c r="B25" s="5" t="s">
        <v>33</v>
      </c>
      <c r="C25" s="5" t="s">
        <v>29</v>
      </c>
      <c r="D25" s="5" t="n">
        <v>42267.37</v>
      </c>
      <c r="E25" s="5" t="n">
        <v>3364</v>
      </c>
      <c r="F25" s="5" t="n">
        <v>0.16</v>
      </c>
      <c r="G25" s="5" t="n">
        <v>82</v>
      </c>
      <c r="H25" s="5" t="n">
        <v>4.6</v>
      </c>
      <c r="I25" s="5" t="n">
        <v>555929.4</v>
      </c>
      <c r="J25" s="5" t="n">
        <v>0</v>
      </c>
      <c r="K25" s="5" t="n">
        <v>1</v>
      </c>
      <c r="L25" s="5" t="n">
        <v>0</v>
      </c>
      <c r="P25" s="1" t="n">
        <f aca="false">E25</f>
        <v>3364</v>
      </c>
      <c r="Q25" s="1" t="n">
        <f aca="false">D25</f>
        <v>42267.37</v>
      </c>
      <c r="R25" s="1" t="n">
        <f aca="false">G25</f>
        <v>82</v>
      </c>
      <c r="S25" s="1" t="n">
        <f aca="false">J25</f>
        <v>0</v>
      </c>
      <c r="T25" s="1" t="n">
        <f aca="false">K25</f>
        <v>1</v>
      </c>
      <c r="U25" s="1" t="n">
        <f aca="false">L25</f>
        <v>0</v>
      </c>
      <c r="W25" s="1" t="n">
        <f aca="false">E25</f>
        <v>3364</v>
      </c>
      <c r="X25" s="1" t="n">
        <f aca="false">D25</f>
        <v>42267.37</v>
      </c>
      <c r="Y25" s="1" t="n">
        <f aca="false">G25</f>
        <v>82</v>
      </c>
      <c r="Z25" s="1" t="n">
        <f aca="false">F25</f>
        <v>0.16</v>
      </c>
      <c r="AA25" s="1" t="n">
        <f aca="false">H25</f>
        <v>4.6</v>
      </c>
      <c r="AB25" s="1" t="n">
        <f aca="false">J25</f>
        <v>0</v>
      </c>
      <c r="AC25" s="1" t="n">
        <f aca="false">K25</f>
        <v>1</v>
      </c>
      <c r="AD25" s="1" t="n">
        <f aca="false">L25</f>
        <v>0</v>
      </c>
    </row>
    <row r="26" customFormat="false" ht="15" hidden="false" customHeight="false" outlineLevel="0" collapsed="false">
      <c r="A26" s="5" t="s">
        <v>38</v>
      </c>
      <c r="B26" s="5" t="s">
        <v>33</v>
      </c>
      <c r="C26" s="5" t="s">
        <v>29</v>
      </c>
      <c r="D26" s="5" t="n">
        <v>62060.43</v>
      </c>
      <c r="E26" s="5" t="n">
        <v>2613</v>
      </c>
      <c r="F26" s="5" t="n">
        <v>0.216</v>
      </c>
      <c r="G26" s="5" t="n">
        <v>92.1</v>
      </c>
      <c r="H26" s="5" t="n">
        <v>4.7</v>
      </c>
      <c r="I26" s="5" t="n">
        <v>565810.99</v>
      </c>
      <c r="J26" s="5" t="n">
        <v>0</v>
      </c>
      <c r="K26" s="5" t="n">
        <v>1</v>
      </c>
      <c r="L26" s="5" t="n">
        <v>0</v>
      </c>
      <c r="P26" s="1" t="n">
        <f aca="false">E26</f>
        <v>2613</v>
      </c>
      <c r="Q26" s="1" t="n">
        <f aca="false">D26</f>
        <v>62060.43</v>
      </c>
      <c r="R26" s="1" t="n">
        <f aca="false">G26</f>
        <v>92.1</v>
      </c>
      <c r="S26" s="1" t="n">
        <f aca="false">J26</f>
        <v>0</v>
      </c>
      <c r="T26" s="1" t="n">
        <f aca="false">K26</f>
        <v>1</v>
      </c>
      <c r="U26" s="1" t="n">
        <f aca="false">L26</f>
        <v>0</v>
      </c>
      <c r="W26" s="1" t="n">
        <f aca="false">E26</f>
        <v>2613</v>
      </c>
      <c r="X26" s="1" t="n">
        <f aca="false">D26</f>
        <v>62060.43</v>
      </c>
      <c r="Y26" s="1" t="n">
        <f aca="false">G26</f>
        <v>92.1</v>
      </c>
      <c r="Z26" s="1" t="n">
        <f aca="false">F26</f>
        <v>0.216</v>
      </c>
      <c r="AA26" s="1" t="n">
        <f aca="false">H26</f>
        <v>4.7</v>
      </c>
      <c r="AB26" s="1" t="n">
        <f aca="false">J26</f>
        <v>0</v>
      </c>
      <c r="AC26" s="1" t="n">
        <f aca="false">K26</f>
        <v>1</v>
      </c>
      <c r="AD26" s="1" t="n">
        <f aca="false">L26</f>
        <v>0</v>
      </c>
    </row>
    <row r="27" customFormat="false" ht="15" hidden="false" customHeight="false" outlineLevel="0" collapsed="false">
      <c r="A27" s="5" t="s">
        <v>39</v>
      </c>
      <c r="B27" s="5" t="s">
        <v>40</v>
      </c>
      <c r="C27" s="5" t="s">
        <v>41</v>
      </c>
      <c r="D27" s="5" t="n">
        <v>57696.69</v>
      </c>
      <c r="E27" s="5" t="n">
        <v>10218</v>
      </c>
      <c r="F27" s="5" t="n">
        <v>0.121</v>
      </c>
      <c r="G27" s="5" t="n">
        <v>94.8</v>
      </c>
      <c r="H27" s="5" t="n">
        <v>3.5</v>
      </c>
      <c r="I27" s="5" t="n">
        <v>811771.14</v>
      </c>
      <c r="J27" s="5" t="n">
        <v>1</v>
      </c>
      <c r="K27" s="5" t="n">
        <v>0</v>
      </c>
      <c r="L27" s="5" t="n">
        <v>0</v>
      </c>
      <c r="P27" s="1" t="n">
        <f aca="false">E27</f>
        <v>10218</v>
      </c>
      <c r="Q27" s="1" t="n">
        <f aca="false">D27</f>
        <v>57696.69</v>
      </c>
      <c r="R27" s="1" t="n">
        <f aca="false">G27</f>
        <v>94.8</v>
      </c>
      <c r="S27" s="1" t="n">
        <f aca="false">J27</f>
        <v>1</v>
      </c>
      <c r="T27" s="1" t="n">
        <f aca="false">K27</f>
        <v>0</v>
      </c>
      <c r="U27" s="1" t="n">
        <f aca="false">L27</f>
        <v>0</v>
      </c>
      <c r="W27" s="1" t="n">
        <f aca="false">E27</f>
        <v>10218</v>
      </c>
      <c r="X27" s="1" t="n">
        <f aca="false">D27</f>
        <v>57696.69</v>
      </c>
      <c r="Y27" s="1" t="n">
        <f aca="false">G27</f>
        <v>94.8</v>
      </c>
      <c r="Z27" s="1" t="n">
        <f aca="false">F27</f>
        <v>0.121</v>
      </c>
      <c r="AA27" s="1" t="n">
        <f aca="false">H27</f>
        <v>3.5</v>
      </c>
      <c r="AB27" s="1" t="n">
        <f aca="false">J27</f>
        <v>1</v>
      </c>
      <c r="AC27" s="1" t="n">
        <f aca="false">K27</f>
        <v>0</v>
      </c>
      <c r="AD27" s="1" t="n">
        <f aca="false">L27</f>
        <v>0</v>
      </c>
    </row>
    <row r="28" customFormat="false" ht="15" hidden="false" customHeight="false" outlineLevel="0" collapsed="false">
      <c r="A28" s="5" t="s">
        <v>39</v>
      </c>
      <c r="B28" s="5" t="s">
        <v>40</v>
      </c>
      <c r="C28" s="5" t="s">
        <v>41</v>
      </c>
      <c r="D28" s="5" t="n">
        <v>172415.52</v>
      </c>
      <c r="E28" s="5" t="n">
        <v>8927</v>
      </c>
      <c r="F28" s="5" t="n">
        <v>0.14</v>
      </c>
      <c r="G28" s="5" t="n">
        <v>86.2</v>
      </c>
      <c r="H28" s="5" t="n">
        <v>3.9</v>
      </c>
      <c r="I28" s="5" t="n">
        <v>800451.94</v>
      </c>
      <c r="J28" s="5" t="n">
        <v>1</v>
      </c>
      <c r="K28" s="5" t="n">
        <v>0</v>
      </c>
      <c r="L28" s="5" t="n">
        <v>0</v>
      </c>
      <c r="P28" s="1" t="n">
        <f aca="false">E28</f>
        <v>8927</v>
      </c>
      <c r="Q28" s="1" t="n">
        <f aca="false">D28</f>
        <v>172415.52</v>
      </c>
      <c r="R28" s="1" t="n">
        <f aca="false">G28</f>
        <v>86.2</v>
      </c>
      <c r="S28" s="1" t="n">
        <f aca="false">J28</f>
        <v>1</v>
      </c>
      <c r="T28" s="1" t="n">
        <f aca="false">K28</f>
        <v>0</v>
      </c>
      <c r="U28" s="1" t="n">
        <f aca="false">L28</f>
        <v>0</v>
      </c>
      <c r="W28" s="1" t="n">
        <f aca="false">E28</f>
        <v>8927</v>
      </c>
      <c r="X28" s="1" t="n">
        <f aca="false">D28</f>
        <v>172415.52</v>
      </c>
      <c r="Y28" s="1" t="n">
        <f aca="false">G28</f>
        <v>86.2</v>
      </c>
      <c r="Z28" s="1" t="n">
        <f aca="false">F28</f>
        <v>0.14</v>
      </c>
      <c r="AA28" s="1" t="n">
        <f aca="false">H28</f>
        <v>3.9</v>
      </c>
      <c r="AB28" s="1" t="n">
        <f aca="false">J28</f>
        <v>1</v>
      </c>
      <c r="AC28" s="1" t="n">
        <f aca="false">K28</f>
        <v>0</v>
      </c>
      <c r="AD28" s="1" t="n">
        <f aca="false">L28</f>
        <v>0</v>
      </c>
    </row>
    <row r="29" customFormat="false" ht="15" hidden="false" customHeight="false" outlineLevel="0" collapsed="false">
      <c r="A29" s="5" t="s">
        <v>39</v>
      </c>
      <c r="B29" s="5" t="s">
        <v>40</v>
      </c>
      <c r="C29" s="5" t="s">
        <v>41</v>
      </c>
      <c r="D29" s="5" t="n">
        <v>55270.52</v>
      </c>
      <c r="E29" s="5" t="n">
        <v>9315</v>
      </c>
      <c r="F29" s="5" t="n">
        <v>0.169</v>
      </c>
      <c r="G29" s="5" t="n">
        <v>91.9</v>
      </c>
      <c r="H29" s="5" t="n">
        <v>4</v>
      </c>
      <c r="I29" s="5" t="n">
        <v>783672.82</v>
      </c>
      <c r="J29" s="5" t="n">
        <v>1</v>
      </c>
      <c r="K29" s="5" t="n">
        <v>0</v>
      </c>
      <c r="L29" s="5" t="n">
        <v>0</v>
      </c>
      <c r="P29" s="1" t="n">
        <f aca="false">E29</f>
        <v>9315</v>
      </c>
      <c r="Q29" s="1" t="n">
        <f aca="false">D29</f>
        <v>55270.52</v>
      </c>
      <c r="R29" s="1" t="n">
        <f aca="false">G29</f>
        <v>91.9</v>
      </c>
      <c r="S29" s="1" t="n">
        <f aca="false">J29</f>
        <v>1</v>
      </c>
      <c r="T29" s="1" t="n">
        <f aca="false">K29</f>
        <v>0</v>
      </c>
      <c r="U29" s="1" t="n">
        <f aca="false">L29</f>
        <v>0</v>
      </c>
      <c r="W29" s="1" t="n">
        <f aca="false">E29</f>
        <v>9315</v>
      </c>
      <c r="X29" s="1" t="n">
        <f aca="false">D29</f>
        <v>55270.52</v>
      </c>
      <c r="Y29" s="1" t="n">
        <f aca="false">G29</f>
        <v>91.9</v>
      </c>
      <c r="Z29" s="1" t="n">
        <f aca="false">F29</f>
        <v>0.169</v>
      </c>
      <c r="AA29" s="1" t="n">
        <f aca="false">H29</f>
        <v>4</v>
      </c>
      <c r="AB29" s="1" t="n">
        <f aca="false">J29</f>
        <v>1</v>
      </c>
      <c r="AC29" s="1" t="n">
        <f aca="false">K29</f>
        <v>0</v>
      </c>
      <c r="AD29" s="1" t="n">
        <f aca="false">L29</f>
        <v>0</v>
      </c>
    </row>
    <row r="30" customFormat="false" ht="15" hidden="false" customHeight="false" outlineLevel="0" collapsed="false">
      <c r="A30" s="5" t="s">
        <v>39</v>
      </c>
      <c r="B30" s="5" t="s">
        <v>40</v>
      </c>
      <c r="C30" s="5" t="s">
        <v>41</v>
      </c>
      <c r="D30" s="5" t="n">
        <v>52715.1</v>
      </c>
      <c r="E30" s="5" t="n">
        <v>7223</v>
      </c>
      <c r="F30" s="5" t="n">
        <v>0.122</v>
      </c>
      <c r="G30" s="5" t="n">
        <v>84.2</v>
      </c>
      <c r="H30" s="5" t="n">
        <v>3.7</v>
      </c>
      <c r="I30" s="5" t="n">
        <v>701641.97</v>
      </c>
      <c r="J30" s="5" t="n">
        <v>1</v>
      </c>
      <c r="K30" s="5" t="n">
        <v>0</v>
      </c>
      <c r="L30" s="5" t="n">
        <v>0</v>
      </c>
      <c r="P30" s="1" t="n">
        <f aca="false">E30</f>
        <v>7223</v>
      </c>
      <c r="Q30" s="1" t="n">
        <f aca="false">D30</f>
        <v>52715.1</v>
      </c>
      <c r="R30" s="1" t="n">
        <f aca="false">G30</f>
        <v>84.2</v>
      </c>
      <c r="S30" s="1" t="n">
        <f aca="false">J30</f>
        <v>1</v>
      </c>
      <c r="T30" s="1" t="n">
        <f aca="false">K30</f>
        <v>0</v>
      </c>
      <c r="U30" s="1" t="n">
        <f aca="false">L30</f>
        <v>0</v>
      </c>
      <c r="W30" s="1" t="n">
        <f aca="false">E30</f>
        <v>7223</v>
      </c>
      <c r="X30" s="1" t="n">
        <f aca="false">D30</f>
        <v>52715.1</v>
      </c>
      <c r="Y30" s="1" t="n">
        <f aca="false">G30</f>
        <v>84.2</v>
      </c>
      <c r="Z30" s="1" t="n">
        <f aca="false">F30</f>
        <v>0.122</v>
      </c>
      <c r="AA30" s="1" t="n">
        <f aca="false">H30</f>
        <v>3.7</v>
      </c>
      <c r="AB30" s="1" t="n">
        <f aca="false">J30</f>
        <v>1</v>
      </c>
      <c r="AC30" s="1" t="n">
        <f aca="false">K30</f>
        <v>0</v>
      </c>
      <c r="AD30" s="1" t="n">
        <f aca="false">L30</f>
        <v>0</v>
      </c>
    </row>
    <row r="31" customFormat="false" ht="15" hidden="false" customHeight="false" outlineLevel="0" collapsed="false">
      <c r="A31" s="5" t="s">
        <v>42</v>
      </c>
      <c r="B31" s="5" t="s">
        <v>28</v>
      </c>
      <c r="C31" s="5" t="s">
        <v>29</v>
      </c>
      <c r="D31" s="5" t="n">
        <v>68600.62</v>
      </c>
      <c r="E31" s="5" t="n">
        <v>3988</v>
      </c>
      <c r="F31" s="5" t="n">
        <v>0.124</v>
      </c>
      <c r="G31" s="5" t="n">
        <v>85</v>
      </c>
      <c r="H31" s="5" t="n">
        <v>3.6</v>
      </c>
      <c r="I31" s="5" t="n">
        <v>511844.41</v>
      </c>
      <c r="J31" s="5" t="n">
        <v>0</v>
      </c>
      <c r="K31" s="5" t="n">
        <v>1</v>
      </c>
      <c r="L31" s="5" t="n">
        <v>0</v>
      </c>
      <c r="P31" s="1" t="n">
        <f aca="false">E31</f>
        <v>3988</v>
      </c>
      <c r="Q31" s="1" t="n">
        <f aca="false">D31</f>
        <v>68600.62</v>
      </c>
      <c r="R31" s="1" t="n">
        <f aca="false">G31</f>
        <v>85</v>
      </c>
      <c r="S31" s="1" t="n">
        <f aca="false">J31</f>
        <v>0</v>
      </c>
      <c r="T31" s="1" t="n">
        <f aca="false">K31</f>
        <v>1</v>
      </c>
      <c r="U31" s="1" t="n">
        <f aca="false">L31</f>
        <v>0</v>
      </c>
      <c r="W31" s="1" t="n">
        <f aca="false">E31</f>
        <v>3988</v>
      </c>
      <c r="X31" s="1" t="n">
        <f aca="false">D31</f>
        <v>68600.62</v>
      </c>
      <c r="Y31" s="1" t="n">
        <f aca="false">G31</f>
        <v>85</v>
      </c>
      <c r="Z31" s="1" t="n">
        <f aca="false">F31</f>
        <v>0.124</v>
      </c>
      <c r="AA31" s="1" t="n">
        <f aca="false">H31</f>
        <v>3.6</v>
      </c>
      <c r="AB31" s="1" t="n">
        <f aca="false">J31</f>
        <v>0</v>
      </c>
      <c r="AC31" s="1" t="n">
        <f aca="false">K31</f>
        <v>1</v>
      </c>
      <c r="AD31" s="1" t="n">
        <f aca="false">L31</f>
        <v>0</v>
      </c>
    </row>
    <row r="32" customFormat="false" ht="15" hidden="false" customHeight="false" outlineLevel="0" collapsed="false">
      <c r="A32" s="5" t="s">
        <v>42</v>
      </c>
      <c r="B32" s="5" t="s">
        <v>28</v>
      </c>
      <c r="C32" s="5" t="s">
        <v>29</v>
      </c>
      <c r="D32" s="5" t="n">
        <v>63176.73</v>
      </c>
      <c r="E32" s="5" t="n">
        <v>2390</v>
      </c>
      <c r="F32" s="5" t="n">
        <v>0.216</v>
      </c>
      <c r="G32" s="5" t="n">
        <v>87.5</v>
      </c>
      <c r="H32" s="5" t="n">
        <v>3.1</v>
      </c>
      <c r="I32" s="5" t="n">
        <v>537383.79</v>
      </c>
      <c r="J32" s="5" t="n">
        <v>0</v>
      </c>
      <c r="K32" s="5" t="n">
        <v>1</v>
      </c>
      <c r="L32" s="5" t="n">
        <v>0</v>
      </c>
      <c r="P32" s="1" t="n">
        <f aca="false">E32</f>
        <v>2390</v>
      </c>
      <c r="Q32" s="1" t="n">
        <f aca="false">D32</f>
        <v>63176.73</v>
      </c>
      <c r="R32" s="1" t="n">
        <f aca="false">G32</f>
        <v>87.5</v>
      </c>
      <c r="S32" s="1" t="n">
        <f aca="false">J32</f>
        <v>0</v>
      </c>
      <c r="T32" s="1" t="n">
        <f aca="false">K32</f>
        <v>1</v>
      </c>
      <c r="U32" s="1" t="n">
        <f aca="false">L32</f>
        <v>0</v>
      </c>
      <c r="W32" s="1" t="n">
        <f aca="false">E32</f>
        <v>2390</v>
      </c>
      <c r="X32" s="1" t="n">
        <f aca="false">D32</f>
        <v>63176.73</v>
      </c>
      <c r="Y32" s="1" t="n">
        <f aca="false">G32</f>
        <v>87.5</v>
      </c>
      <c r="Z32" s="1" t="n">
        <f aca="false">F32</f>
        <v>0.216</v>
      </c>
      <c r="AA32" s="1" t="n">
        <f aca="false">H32</f>
        <v>3.1</v>
      </c>
      <c r="AB32" s="1" t="n">
        <f aca="false">J32</f>
        <v>0</v>
      </c>
      <c r="AC32" s="1" t="n">
        <f aca="false">K32</f>
        <v>1</v>
      </c>
      <c r="AD32" s="1" t="n">
        <f aca="false">L32</f>
        <v>0</v>
      </c>
    </row>
    <row r="33" customFormat="false" ht="15" hidden="false" customHeight="false" outlineLevel="0" collapsed="false">
      <c r="A33" s="5" t="s">
        <v>42</v>
      </c>
      <c r="B33" s="5" t="s">
        <v>28</v>
      </c>
      <c r="C33" s="5" t="s">
        <v>29</v>
      </c>
      <c r="D33" s="5" t="n">
        <v>44970.08</v>
      </c>
      <c r="E33" s="5" t="n">
        <v>2471</v>
      </c>
      <c r="F33" s="5" t="n">
        <v>0.136</v>
      </c>
      <c r="G33" s="5" t="n">
        <v>87.6</v>
      </c>
      <c r="H33" s="5" t="n">
        <v>3.7</v>
      </c>
      <c r="I33" s="5" t="n">
        <v>500173.02</v>
      </c>
      <c r="J33" s="5" t="n">
        <v>0</v>
      </c>
      <c r="K33" s="5" t="n">
        <v>1</v>
      </c>
      <c r="L33" s="5" t="n">
        <v>0</v>
      </c>
      <c r="P33" s="1" t="n">
        <f aca="false">E33</f>
        <v>2471</v>
      </c>
      <c r="Q33" s="1" t="n">
        <f aca="false">D33</f>
        <v>44970.08</v>
      </c>
      <c r="R33" s="1" t="n">
        <f aca="false">G33</f>
        <v>87.6</v>
      </c>
      <c r="S33" s="1" t="n">
        <f aca="false">J33</f>
        <v>0</v>
      </c>
      <c r="T33" s="1" t="n">
        <f aca="false">K33</f>
        <v>1</v>
      </c>
      <c r="U33" s="1" t="n">
        <f aca="false">L33</f>
        <v>0</v>
      </c>
      <c r="W33" s="1" t="n">
        <f aca="false">E33</f>
        <v>2471</v>
      </c>
      <c r="X33" s="1" t="n">
        <f aca="false">D33</f>
        <v>44970.08</v>
      </c>
      <c r="Y33" s="1" t="n">
        <f aca="false">G33</f>
        <v>87.6</v>
      </c>
      <c r="Z33" s="1" t="n">
        <f aca="false">F33</f>
        <v>0.136</v>
      </c>
      <c r="AA33" s="1" t="n">
        <f aca="false">H33</f>
        <v>3.7</v>
      </c>
      <c r="AB33" s="1" t="n">
        <f aca="false">J33</f>
        <v>0</v>
      </c>
      <c r="AC33" s="1" t="n">
        <f aca="false">K33</f>
        <v>1</v>
      </c>
      <c r="AD33" s="1" t="n">
        <f aca="false">L33</f>
        <v>0</v>
      </c>
    </row>
    <row r="34" customFormat="false" ht="15" hidden="false" customHeight="false" outlineLevel="0" collapsed="false">
      <c r="A34" s="5" t="s">
        <v>42</v>
      </c>
      <c r="B34" s="5" t="s">
        <v>28</v>
      </c>
      <c r="C34" s="5" t="s">
        <v>29</v>
      </c>
      <c r="D34" s="5" t="n">
        <v>69816.35</v>
      </c>
      <c r="E34" s="5" t="n">
        <v>971</v>
      </c>
      <c r="F34" s="5" t="n">
        <v>0.168</v>
      </c>
      <c r="G34" s="5" t="n">
        <v>89.9</v>
      </c>
      <c r="H34" s="5" t="n">
        <v>3.6</v>
      </c>
      <c r="I34" s="5" t="n">
        <v>427917.38</v>
      </c>
      <c r="J34" s="5" t="n">
        <v>0</v>
      </c>
      <c r="K34" s="5" t="n">
        <v>1</v>
      </c>
      <c r="L34" s="5" t="n">
        <v>0</v>
      </c>
      <c r="P34" s="1" t="n">
        <f aca="false">E34</f>
        <v>971</v>
      </c>
      <c r="Q34" s="1" t="n">
        <f aca="false">D34</f>
        <v>69816.35</v>
      </c>
      <c r="R34" s="1" t="n">
        <f aca="false">G34</f>
        <v>89.9</v>
      </c>
      <c r="S34" s="1" t="n">
        <f aca="false">J34</f>
        <v>0</v>
      </c>
      <c r="T34" s="1" t="n">
        <f aca="false">K34</f>
        <v>1</v>
      </c>
      <c r="U34" s="1" t="n">
        <f aca="false">L34</f>
        <v>0</v>
      </c>
      <c r="W34" s="1" t="n">
        <f aca="false">E34</f>
        <v>971</v>
      </c>
      <c r="X34" s="1" t="n">
        <f aca="false">D34</f>
        <v>69816.35</v>
      </c>
      <c r="Y34" s="1" t="n">
        <f aca="false">G34</f>
        <v>89.9</v>
      </c>
      <c r="Z34" s="1" t="n">
        <f aca="false">F34</f>
        <v>0.168</v>
      </c>
      <c r="AA34" s="1" t="n">
        <f aca="false">H34</f>
        <v>3.6</v>
      </c>
      <c r="AB34" s="1" t="n">
        <f aca="false">J34</f>
        <v>0</v>
      </c>
      <c r="AC34" s="1" t="n">
        <f aca="false">K34</f>
        <v>1</v>
      </c>
      <c r="AD34" s="1" t="n">
        <f aca="false">L34</f>
        <v>0</v>
      </c>
    </row>
    <row r="35" customFormat="false" ht="15" hidden="false" customHeight="false" outlineLevel="0" collapsed="false">
      <c r="A35" s="5" t="s">
        <v>43</v>
      </c>
      <c r="B35" s="5" t="s">
        <v>33</v>
      </c>
      <c r="C35" s="5" t="s">
        <v>29</v>
      </c>
      <c r="D35" s="5" t="n">
        <v>54597.83</v>
      </c>
      <c r="E35" s="5" t="n">
        <v>9429</v>
      </c>
      <c r="F35" s="5" t="n">
        <v>0.188</v>
      </c>
      <c r="G35" s="5" t="n">
        <v>83.3</v>
      </c>
      <c r="H35" s="5" t="n">
        <v>4.2</v>
      </c>
      <c r="I35" s="5" t="n">
        <v>641865.03</v>
      </c>
      <c r="J35" s="5" t="n">
        <v>0</v>
      </c>
      <c r="K35" s="5" t="n">
        <v>1</v>
      </c>
      <c r="L35" s="5" t="n">
        <v>0</v>
      </c>
      <c r="P35" s="1" t="n">
        <f aca="false">E35</f>
        <v>9429</v>
      </c>
      <c r="Q35" s="1" t="n">
        <f aca="false">D35</f>
        <v>54597.83</v>
      </c>
      <c r="R35" s="1" t="n">
        <f aca="false">G35</f>
        <v>83.3</v>
      </c>
      <c r="S35" s="1" t="n">
        <f aca="false">J35</f>
        <v>0</v>
      </c>
      <c r="T35" s="1" t="n">
        <f aca="false">K35</f>
        <v>1</v>
      </c>
      <c r="U35" s="1" t="n">
        <f aca="false">L35</f>
        <v>0</v>
      </c>
      <c r="W35" s="1" t="n">
        <f aca="false">E35</f>
        <v>9429</v>
      </c>
      <c r="X35" s="1" t="n">
        <f aca="false">D35</f>
        <v>54597.83</v>
      </c>
      <c r="Y35" s="1" t="n">
        <f aca="false">G35</f>
        <v>83.3</v>
      </c>
      <c r="Z35" s="1" t="n">
        <f aca="false">F35</f>
        <v>0.188</v>
      </c>
      <c r="AA35" s="1" t="n">
        <f aca="false">H35</f>
        <v>4.2</v>
      </c>
      <c r="AB35" s="1" t="n">
        <f aca="false">J35</f>
        <v>0</v>
      </c>
      <c r="AC35" s="1" t="n">
        <f aca="false">K35</f>
        <v>1</v>
      </c>
      <c r="AD35" s="1" t="n">
        <f aca="false">L35</f>
        <v>0</v>
      </c>
    </row>
    <row r="36" customFormat="false" ht="15" hidden="false" customHeight="false" outlineLevel="0" collapsed="false">
      <c r="A36" s="5" t="s">
        <v>43</v>
      </c>
      <c r="B36" s="5" t="s">
        <v>33</v>
      </c>
      <c r="C36" s="5" t="s">
        <v>29</v>
      </c>
      <c r="D36" s="5" t="n">
        <v>73771.91</v>
      </c>
      <c r="E36" s="5" t="n">
        <v>11695</v>
      </c>
      <c r="F36" s="5" t="n">
        <v>0.07</v>
      </c>
      <c r="G36" s="5" t="n">
        <v>84.7</v>
      </c>
      <c r="H36" s="5" t="n">
        <v>3.92467948717949</v>
      </c>
      <c r="I36" s="5" t="n">
        <v>799477.76</v>
      </c>
      <c r="J36" s="5" t="n">
        <v>0</v>
      </c>
      <c r="K36" s="5" t="n">
        <v>1</v>
      </c>
      <c r="L36" s="5" t="n">
        <v>0</v>
      </c>
      <c r="P36" s="1" t="n">
        <f aca="false">E36</f>
        <v>11695</v>
      </c>
      <c r="Q36" s="1" t="n">
        <f aca="false">D36</f>
        <v>73771.91</v>
      </c>
      <c r="R36" s="1" t="n">
        <f aca="false">G36</f>
        <v>84.7</v>
      </c>
      <c r="S36" s="1" t="n">
        <f aca="false">J36</f>
        <v>0</v>
      </c>
      <c r="T36" s="1" t="n">
        <f aca="false">K36</f>
        <v>1</v>
      </c>
      <c r="U36" s="1" t="n">
        <f aca="false">L36</f>
        <v>0</v>
      </c>
      <c r="W36" s="1" t="n">
        <f aca="false">E36</f>
        <v>11695</v>
      </c>
      <c r="X36" s="1" t="n">
        <f aca="false">D36</f>
        <v>73771.91</v>
      </c>
      <c r="Y36" s="1" t="n">
        <f aca="false">G36</f>
        <v>84.7</v>
      </c>
      <c r="Z36" s="1" t="n">
        <f aca="false">F36</f>
        <v>0.07</v>
      </c>
      <c r="AA36" s="1" t="n">
        <f aca="false">H36</f>
        <v>3.92467948717949</v>
      </c>
      <c r="AB36" s="1" t="n">
        <f aca="false">J36</f>
        <v>0</v>
      </c>
      <c r="AC36" s="1" t="n">
        <f aca="false">K36</f>
        <v>1</v>
      </c>
      <c r="AD36" s="1" t="n">
        <f aca="false">L36</f>
        <v>0</v>
      </c>
    </row>
    <row r="37" customFormat="false" ht="15" hidden="false" customHeight="false" outlineLevel="0" collapsed="false">
      <c r="A37" s="5" t="s">
        <v>43</v>
      </c>
      <c r="B37" s="5" t="s">
        <v>33</v>
      </c>
      <c r="C37" s="5" t="s">
        <v>29</v>
      </c>
      <c r="D37" s="5" t="n">
        <v>74413.88</v>
      </c>
      <c r="E37" s="5" t="n">
        <v>9449</v>
      </c>
      <c r="F37" s="5" t="n">
        <v>0.039</v>
      </c>
      <c r="G37" s="5" t="n">
        <v>92.1</v>
      </c>
      <c r="H37" s="5" t="n">
        <v>3.5</v>
      </c>
      <c r="I37" s="5" t="n">
        <v>798952.17</v>
      </c>
      <c r="J37" s="5" t="n">
        <v>0</v>
      </c>
      <c r="K37" s="5" t="n">
        <v>1</v>
      </c>
      <c r="L37" s="5" t="n">
        <v>0</v>
      </c>
      <c r="P37" s="1" t="n">
        <f aca="false">E37</f>
        <v>9449</v>
      </c>
      <c r="Q37" s="1" t="n">
        <f aca="false">D37</f>
        <v>74413.88</v>
      </c>
      <c r="R37" s="1" t="n">
        <f aca="false">G37</f>
        <v>92.1</v>
      </c>
      <c r="S37" s="1" t="n">
        <f aca="false">J37</f>
        <v>0</v>
      </c>
      <c r="T37" s="1" t="n">
        <f aca="false">K37</f>
        <v>1</v>
      </c>
      <c r="U37" s="1" t="n">
        <f aca="false">L37</f>
        <v>0</v>
      </c>
      <c r="W37" s="1" t="n">
        <f aca="false">E37</f>
        <v>9449</v>
      </c>
      <c r="X37" s="1" t="n">
        <f aca="false">D37</f>
        <v>74413.88</v>
      </c>
      <c r="Y37" s="1" t="n">
        <f aca="false">G37</f>
        <v>92.1</v>
      </c>
      <c r="Z37" s="1" t="n">
        <f aca="false">F37</f>
        <v>0.039</v>
      </c>
      <c r="AA37" s="1" t="n">
        <f aca="false">H37</f>
        <v>3.5</v>
      </c>
      <c r="AB37" s="1" t="n">
        <f aca="false">J37</f>
        <v>0</v>
      </c>
      <c r="AC37" s="1" t="n">
        <f aca="false">K37</f>
        <v>1</v>
      </c>
      <c r="AD37" s="1" t="n">
        <f aca="false">L37</f>
        <v>0</v>
      </c>
    </row>
    <row r="38" customFormat="false" ht="15" hidden="false" customHeight="false" outlineLevel="0" collapsed="false">
      <c r="A38" s="5" t="s">
        <v>43</v>
      </c>
      <c r="B38" s="5" t="s">
        <v>33</v>
      </c>
      <c r="C38" s="5" t="s">
        <v>29</v>
      </c>
      <c r="D38" s="5" t="n">
        <v>52483.77</v>
      </c>
      <c r="E38" s="5" t="n">
        <v>10453</v>
      </c>
      <c r="F38" s="5" t="n">
        <v>0.247</v>
      </c>
      <c r="G38" s="5" t="n">
        <v>99</v>
      </c>
      <c r="H38" s="5" t="n">
        <v>3.6</v>
      </c>
      <c r="I38" s="5" t="n">
        <v>800979.78</v>
      </c>
      <c r="J38" s="5" t="n">
        <v>0</v>
      </c>
      <c r="K38" s="5" t="n">
        <v>1</v>
      </c>
      <c r="L38" s="5" t="n">
        <v>0</v>
      </c>
      <c r="P38" s="1" t="n">
        <f aca="false">E38</f>
        <v>10453</v>
      </c>
      <c r="Q38" s="1" t="n">
        <f aca="false">D38</f>
        <v>52483.77</v>
      </c>
      <c r="R38" s="1" t="n">
        <f aca="false">G38</f>
        <v>99</v>
      </c>
      <c r="S38" s="1" t="n">
        <f aca="false">J38</f>
        <v>0</v>
      </c>
      <c r="T38" s="1" t="n">
        <f aca="false">K38</f>
        <v>1</v>
      </c>
      <c r="U38" s="1" t="n">
        <f aca="false">L38</f>
        <v>0</v>
      </c>
      <c r="W38" s="1" t="n">
        <f aca="false">E38</f>
        <v>10453</v>
      </c>
      <c r="X38" s="1" t="n">
        <f aca="false">D38</f>
        <v>52483.77</v>
      </c>
      <c r="Y38" s="1" t="n">
        <f aca="false">G38</f>
        <v>99</v>
      </c>
      <c r="Z38" s="1" t="n">
        <f aca="false">F38</f>
        <v>0.247</v>
      </c>
      <c r="AA38" s="1" t="n">
        <f aca="false">H38</f>
        <v>3.6</v>
      </c>
      <c r="AB38" s="1" t="n">
        <f aca="false">J38</f>
        <v>0</v>
      </c>
      <c r="AC38" s="1" t="n">
        <f aca="false">K38</f>
        <v>1</v>
      </c>
      <c r="AD38" s="1" t="n">
        <f aca="false">L38</f>
        <v>0</v>
      </c>
    </row>
    <row r="39" customFormat="false" ht="15" hidden="false" customHeight="false" outlineLevel="0" collapsed="false">
      <c r="A39" s="5" t="s">
        <v>44</v>
      </c>
      <c r="B39" s="5" t="s">
        <v>33</v>
      </c>
      <c r="C39" s="5" t="s">
        <v>41</v>
      </c>
      <c r="D39" s="5" t="n">
        <v>75269.87</v>
      </c>
      <c r="E39" s="5" t="n">
        <v>8838</v>
      </c>
      <c r="F39" s="5" t="n">
        <v>0.092</v>
      </c>
      <c r="G39" s="5" t="n">
        <v>83.1</v>
      </c>
      <c r="H39" s="5" t="n">
        <v>4.2</v>
      </c>
      <c r="I39" s="5" t="n">
        <v>820593.93</v>
      </c>
      <c r="J39" s="5" t="n">
        <v>1</v>
      </c>
      <c r="K39" s="5" t="n">
        <v>0</v>
      </c>
      <c r="L39" s="5" t="n">
        <v>0</v>
      </c>
      <c r="P39" s="1" t="n">
        <f aca="false">E39</f>
        <v>8838</v>
      </c>
      <c r="Q39" s="1" t="n">
        <f aca="false">D39</f>
        <v>75269.87</v>
      </c>
      <c r="R39" s="1" t="n">
        <f aca="false">G39</f>
        <v>83.1</v>
      </c>
      <c r="S39" s="1" t="n">
        <f aca="false">J39</f>
        <v>1</v>
      </c>
      <c r="T39" s="1" t="n">
        <f aca="false">K39</f>
        <v>0</v>
      </c>
      <c r="U39" s="1" t="n">
        <f aca="false">L39</f>
        <v>0</v>
      </c>
      <c r="W39" s="1" t="n">
        <f aca="false">E39</f>
        <v>8838</v>
      </c>
      <c r="X39" s="1" t="n">
        <f aca="false">D39</f>
        <v>75269.87</v>
      </c>
      <c r="Y39" s="1" t="n">
        <f aca="false">G39</f>
        <v>83.1</v>
      </c>
      <c r="Z39" s="1" t="n">
        <f aca="false">F39</f>
        <v>0.092</v>
      </c>
      <c r="AA39" s="1" t="n">
        <f aca="false">H39</f>
        <v>4.2</v>
      </c>
      <c r="AB39" s="1" t="n">
        <f aca="false">J39</f>
        <v>1</v>
      </c>
      <c r="AC39" s="1" t="n">
        <f aca="false">K39</f>
        <v>0</v>
      </c>
      <c r="AD39" s="1" t="n">
        <f aca="false">L39</f>
        <v>0</v>
      </c>
    </row>
    <row r="40" customFormat="false" ht="15" hidden="false" customHeight="false" outlineLevel="0" collapsed="false">
      <c r="A40" s="5" t="s">
        <v>44</v>
      </c>
      <c r="B40" s="5" t="s">
        <v>33</v>
      </c>
      <c r="C40" s="5" t="s">
        <v>41</v>
      </c>
      <c r="D40" s="5" t="n">
        <v>61245.41</v>
      </c>
      <c r="E40" s="5" t="n">
        <v>8156</v>
      </c>
      <c r="F40" s="5" t="n">
        <v>0.156</v>
      </c>
      <c r="G40" s="5" t="n">
        <v>92.9</v>
      </c>
      <c r="H40" s="5" t="n">
        <v>3.8</v>
      </c>
      <c r="I40" s="5" t="n">
        <v>718330.53</v>
      </c>
      <c r="J40" s="5" t="n">
        <v>1</v>
      </c>
      <c r="K40" s="5" t="n">
        <v>0</v>
      </c>
      <c r="L40" s="5" t="n">
        <v>0</v>
      </c>
      <c r="P40" s="1" t="n">
        <f aca="false">E40</f>
        <v>8156</v>
      </c>
      <c r="Q40" s="1" t="n">
        <f aca="false">D40</f>
        <v>61245.41</v>
      </c>
      <c r="R40" s="1" t="n">
        <f aca="false">G40</f>
        <v>92.9</v>
      </c>
      <c r="S40" s="1" t="n">
        <f aca="false">J40</f>
        <v>1</v>
      </c>
      <c r="T40" s="1" t="n">
        <f aca="false">K40</f>
        <v>0</v>
      </c>
      <c r="U40" s="1" t="n">
        <f aca="false">L40</f>
        <v>0</v>
      </c>
      <c r="W40" s="1" t="n">
        <f aca="false">E40</f>
        <v>8156</v>
      </c>
      <c r="X40" s="1" t="n">
        <f aca="false">D40</f>
        <v>61245.41</v>
      </c>
      <c r="Y40" s="1" t="n">
        <f aca="false">G40</f>
        <v>92.9</v>
      </c>
      <c r="Z40" s="1" t="n">
        <f aca="false">F40</f>
        <v>0.156</v>
      </c>
      <c r="AA40" s="1" t="n">
        <f aca="false">H40</f>
        <v>3.8</v>
      </c>
      <c r="AB40" s="1" t="n">
        <f aca="false">J40</f>
        <v>1</v>
      </c>
      <c r="AC40" s="1" t="n">
        <f aca="false">K40</f>
        <v>0</v>
      </c>
      <c r="AD40" s="1" t="n">
        <f aca="false">L40</f>
        <v>0</v>
      </c>
    </row>
    <row r="41" customFormat="false" ht="15" hidden="false" customHeight="false" outlineLevel="0" collapsed="false">
      <c r="A41" s="5" t="s">
        <v>44</v>
      </c>
      <c r="B41" s="5" t="s">
        <v>33</v>
      </c>
      <c r="C41" s="5" t="s">
        <v>41</v>
      </c>
      <c r="D41" s="5" t="n">
        <v>93381.26</v>
      </c>
      <c r="E41" s="5" t="n">
        <v>7562</v>
      </c>
      <c r="F41" s="5" t="n">
        <v>0.198</v>
      </c>
      <c r="G41" s="5" t="n">
        <v>82.9</v>
      </c>
      <c r="H41" s="5" t="n">
        <v>4</v>
      </c>
      <c r="I41" s="5" t="n">
        <v>736633.4</v>
      </c>
      <c r="J41" s="5" t="n">
        <v>1</v>
      </c>
      <c r="K41" s="5" t="n">
        <v>0</v>
      </c>
      <c r="L41" s="5" t="n">
        <v>0</v>
      </c>
      <c r="P41" s="1" t="n">
        <f aca="false">E41</f>
        <v>7562</v>
      </c>
      <c r="Q41" s="1" t="n">
        <f aca="false">D41</f>
        <v>93381.26</v>
      </c>
      <c r="R41" s="1" t="n">
        <f aca="false">G41</f>
        <v>82.9</v>
      </c>
      <c r="S41" s="1" t="n">
        <f aca="false">J41</f>
        <v>1</v>
      </c>
      <c r="T41" s="1" t="n">
        <f aca="false">K41</f>
        <v>0</v>
      </c>
      <c r="U41" s="1" t="n">
        <f aca="false">L41</f>
        <v>0</v>
      </c>
      <c r="W41" s="1" t="n">
        <f aca="false">E41</f>
        <v>7562</v>
      </c>
      <c r="X41" s="1" t="n">
        <f aca="false">D41</f>
        <v>93381.26</v>
      </c>
      <c r="Y41" s="1" t="n">
        <f aca="false">G41</f>
        <v>82.9</v>
      </c>
      <c r="Z41" s="1" t="n">
        <f aca="false">F41</f>
        <v>0.198</v>
      </c>
      <c r="AA41" s="1" t="n">
        <f aca="false">H41</f>
        <v>4</v>
      </c>
      <c r="AB41" s="1" t="n">
        <f aca="false">J41</f>
        <v>1</v>
      </c>
      <c r="AC41" s="1" t="n">
        <f aca="false">K41</f>
        <v>0</v>
      </c>
      <c r="AD41" s="1" t="n">
        <f aca="false">L41</f>
        <v>0</v>
      </c>
    </row>
    <row r="42" customFormat="false" ht="15" hidden="false" customHeight="false" outlineLevel="0" collapsed="false">
      <c r="A42" s="5" t="s">
        <v>44</v>
      </c>
      <c r="B42" s="5" t="s">
        <v>33</v>
      </c>
      <c r="C42" s="5" t="s">
        <v>41</v>
      </c>
      <c r="D42" s="5" t="n">
        <v>65012.19</v>
      </c>
      <c r="E42" s="5" t="n">
        <v>9598</v>
      </c>
      <c r="F42" s="5" t="n">
        <v>0.085</v>
      </c>
      <c r="G42" s="5" t="n">
        <v>98.3</v>
      </c>
      <c r="H42" s="5" t="n">
        <v>3.8</v>
      </c>
      <c r="I42" s="5" t="n">
        <v>828623.85</v>
      </c>
      <c r="J42" s="5" t="n">
        <v>1</v>
      </c>
      <c r="K42" s="5" t="n">
        <v>0</v>
      </c>
      <c r="L42" s="5" t="n">
        <v>0</v>
      </c>
      <c r="P42" s="1" t="n">
        <f aca="false">E42</f>
        <v>9598</v>
      </c>
      <c r="Q42" s="1" t="n">
        <f aca="false">D42</f>
        <v>65012.19</v>
      </c>
      <c r="R42" s="1" t="n">
        <f aca="false">G42</f>
        <v>98.3</v>
      </c>
      <c r="S42" s="1" t="n">
        <f aca="false">J42</f>
        <v>1</v>
      </c>
      <c r="T42" s="1" t="n">
        <f aca="false">K42</f>
        <v>0</v>
      </c>
      <c r="U42" s="1" t="n">
        <f aca="false">L42</f>
        <v>0</v>
      </c>
      <c r="W42" s="1" t="n">
        <f aca="false">E42</f>
        <v>9598</v>
      </c>
      <c r="X42" s="1" t="n">
        <f aca="false">D42</f>
        <v>65012.19</v>
      </c>
      <c r="Y42" s="1" t="n">
        <f aca="false">G42</f>
        <v>98.3</v>
      </c>
      <c r="Z42" s="1" t="n">
        <f aca="false">F42</f>
        <v>0.085</v>
      </c>
      <c r="AA42" s="1" t="n">
        <f aca="false">H42</f>
        <v>3.8</v>
      </c>
      <c r="AB42" s="1" t="n">
        <f aca="false">J42</f>
        <v>1</v>
      </c>
      <c r="AC42" s="1" t="n">
        <f aca="false">K42</f>
        <v>0</v>
      </c>
      <c r="AD42" s="1" t="n">
        <f aca="false">L42</f>
        <v>0</v>
      </c>
    </row>
    <row r="43" customFormat="false" ht="15" hidden="false" customHeight="false" outlineLevel="0" collapsed="false">
      <c r="A43" s="5" t="s">
        <v>45</v>
      </c>
      <c r="B43" s="5" t="s">
        <v>28</v>
      </c>
      <c r="C43" s="5" t="s">
        <v>41</v>
      </c>
      <c r="D43" s="5" t="n">
        <v>40462.94</v>
      </c>
      <c r="E43" s="5" t="n">
        <v>3660</v>
      </c>
      <c r="F43" s="5" t="n">
        <v>0.218</v>
      </c>
      <c r="G43" s="5" t="n">
        <v>95.2</v>
      </c>
      <c r="H43" s="5" t="n">
        <v>4.4</v>
      </c>
      <c r="I43" s="5" t="n">
        <v>592195.85</v>
      </c>
      <c r="J43" s="5" t="n">
        <v>1</v>
      </c>
      <c r="K43" s="5" t="n">
        <v>0</v>
      </c>
      <c r="L43" s="5" t="n">
        <v>0</v>
      </c>
      <c r="P43" s="1" t="n">
        <f aca="false">E43</f>
        <v>3660</v>
      </c>
      <c r="Q43" s="1" t="n">
        <f aca="false">D43</f>
        <v>40462.94</v>
      </c>
      <c r="R43" s="1" t="n">
        <f aca="false">G43</f>
        <v>95.2</v>
      </c>
      <c r="S43" s="1" t="n">
        <f aca="false">J43</f>
        <v>1</v>
      </c>
      <c r="T43" s="1" t="n">
        <f aca="false">K43</f>
        <v>0</v>
      </c>
      <c r="U43" s="1" t="n">
        <f aca="false">L43</f>
        <v>0</v>
      </c>
      <c r="W43" s="1" t="n">
        <f aca="false">E43</f>
        <v>3660</v>
      </c>
      <c r="X43" s="1" t="n">
        <f aca="false">D43</f>
        <v>40462.94</v>
      </c>
      <c r="Y43" s="1" t="n">
        <f aca="false">G43</f>
        <v>95.2</v>
      </c>
      <c r="Z43" s="1" t="n">
        <f aca="false">F43</f>
        <v>0.218</v>
      </c>
      <c r="AA43" s="1" t="n">
        <f aca="false">H43</f>
        <v>4.4</v>
      </c>
      <c r="AB43" s="1" t="n">
        <f aca="false">J43</f>
        <v>1</v>
      </c>
      <c r="AC43" s="1" t="n">
        <f aca="false">K43</f>
        <v>0</v>
      </c>
      <c r="AD43" s="1" t="n">
        <f aca="false">L43</f>
        <v>0</v>
      </c>
    </row>
    <row r="44" customFormat="false" ht="15" hidden="false" customHeight="false" outlineLevel="0" collapsed="false">
      <c r="A44" s="5" t="s">
        <v>45</v>
      </c>
      <c r="B44" s="5" t="s">
        <v>28</v>
      </c>
      <c r="C44" s="5" t="s">
        <v>41</v>
      </c>
      <c r="D44" s="5" t="n">
        <v>46123.88</v>
      </c>
      <c r="E44" s="5" t="n">
        <v>3227</v>
      </c>
      <c r="F44" s="5" t="n">
        <v>0.143</v>
      </c>
      <c r="G44" s="5" t="n">
        <v>75.4</v>
      </c>
      <c r="H44" s="5" t="n">
        <v>4.4</v>
      </c>
      <c r="I44" s="5" t="n">
        <v>532644.46</v>
      </c>
      <c r="J44" s="5" t="n">
        <v>1</v>
      </c>
      <c r="K44" s="5" t="n">
        <v>0</v>
      </c>
      <c r="L44" s="5" t="n">
        <v>0</v>
      </c>
      <c r="P44" s="1" t="n">
        <f aca="false">E44</f>
        <v>3227</v>
      </c>
      <c r="Q44" s="1" t="n">
        <f aca="false">D44</f>
        <v>46123.88</v>
      </c>
      <c r="R44" s="1" t="n">
        <f aca="false">G44</f>
        <v>75.4</v>
      </c>
      <c r="S44" s="1" t="n">
        <f aca="false">J44</f>
        <v>1</v>
      </c>
      <c r="T44" s="1" t="n">
        <f aca="false">K44</f>
        <v>0</v>
      </c>
      <c r="U44" s="1" t="n">
        <f aca="false">L44</f>
        <v>0</v>
      </c>
      <c r="W44" s="1" t="n">
        <f aca="false">E44</f>
        <v>3227</v>
      </c>
      <c r="X44" s="1" t="n">
        <f aca="false">D44</f>
        <v>46123.88</v>
      </c>
      <c r="Y44" s="1" t="n">
        <f aca="false">G44</f>
        <v>75.4</v>
      </c>
      <c r="Z44" s="1" t="n">
        <f aca="false">F44</f>
        <v>0.143</v>
      </c>
      <c r="AA44" s="1" t="n">
        <f aca="false">H44</f>
        <v>4.4</v>
      </c>
      <c r="AB44" s="1" t="n">
        <f aca="false">J44</f>
        <v>1</v>
      </c>
      <c r="AC44" s="1" t="n">
        <f aca="false">K44</f>
        <v>0</v>
      </c>
      <c r="AD44" s="1" t="n">
        <f aca="false">L44</f>
        <v>0</v>
      </c>
    </row>
    <row r="45" customFormat="false" ht="15" hidden="false" customHeight="false" outlineLevel="0" collapsed="false">
      <c r="A45" s="5" t="s">
        <v>45</v>
      </c>
      <c r="B45" s="5" t="s">
        <v>28</v>
      </c>
      <c r="C45" s="5" t="s">
        <v>41</v>
      </c>
      <c r="D45" s="5" t="n">
        <v>68077.54</v>
      </c>
      <c r="E45" s="5" t="n">
        <v>3360</v>
      </c>
      <c r="F45" s="5" t="n">
        <v>0.128</v>
      </c>
      <c r="G45" s="5" t="n">
        <v>88.2</v>
      </c>
      <c r="H45" s="5" t="n">
        <v>4</v>
      </c>
      <c r="I45" s="5" t="n">
        <v>657429.18</v>
      </c>
      <c r="J45" s="5" t="n">
        <v>1</v>
      </c>
      <c r="K45" s="5" t="n">
        <v>0</v>
      </c>
      <c r="L45" s="5" t="n">
        <v>0</v>
      </c>
      <c r="P45" s="1" t="n">
        <f aca="false">E45</f>
        <v>3360</v>
      </c>
      <c r="Q45" s="1" t="n">
        <f aca="false">D45</f>
        <v>68077.54</v>
      </c>
      <c r="R45" s="1" t="n">
        <f aca="false">G45</f>
        <v>88.2</v>
      </c>
      <c r="S45" s="1" t="n">
        <f aca="false">J45</f>
        <v>1</v>
      </c>
      <c r="T45" s="1" t="n">
        <f aca="false">K45</f>
        <v>0</v>
      </c>
      <c r="U45" s="1" t="n">
        <f aca="false">L45</f>
        <v>0</v>
      </c>
      <c r="W45" s="1" t="n">
        <f aca="false">E45</f>
        <v>3360</v>
      </c>
      <c r="X45" s="1" t="n">
        <f aca="false">D45</f>
        <v>68077.54</v>
      </c>
      <c r="Y45" s="1" t="n">
        <f aca="false">G45</f>
        <v>88.2</v>
      </c>
      <c r="Z45" s="1" t="n">
        <f aca="false">F45</f>
        <v>0.128</v>
      </c>
      <c r="AA45" s="1" t="n">
        <f aca="false">H45</f>
        <v>4</v>
      </c>
      <c r="AB45" s="1" t="n">
        <f aca="false">J45</f>
        <v>1</v>
      </c>
      <c r="AC45" s="1" t="n">
        <f aca="false">K45</f>
        <v>0</v>
      </c>
      <c r="AD45" s="1" t="n">
        <f aca="false">L45</f>
        <v>0</v>
      </c>
    </row>
    <row r="46" customFormat="false" ht="15" hidden="false" customHeight="false" outlineLevel="0" collapsed="false">
      <c r="A46" s="5" t="s">
        <v>45</v>
      </c>
      <c r="B46" s="5" t="s">
        <v>28</v>
      </c>
      <c r="C46" s="5" t="s">
        <v>41</v>
      </c>
      <c r="D46" s="5" t="n">
        <v>64882.14</v>
      </c>
      <c r="E46" s="5" t="n">
        <v>3642</v>
      </c>
      <c r="F46" s="5" t="n">
        <v>0.019</v>
      </c>
      <c r="G46" s="5" t="n">
        <v>87.8</v>
      </c>
      <c r="H46" s="5" t="n">
        <v>4.2</v>
      </c>
      <c r="I46" s="5" t="n">
        <v>605178</v>
      </c>
      <c r="J46" s="5" t="n">
        <v>1</v>
      </c>
      <c r="K46" s="5" t="n">
        <v>0</v>
      </c>
      <c r="L46" s="5" t="n">
        <v>0</v>
      </c>
      <c r="P46" s="1" t="n">
        <f aca="false">E46</f>
        <v>3642</v>
      </c>
      <c r="Q46" s="1" t="n">
        <f aca="false">D46</f>
        <v>64882.14</v>
      </c>
      <c r="R46" s="1" t="n">
        <f aca="false">G46</f>
        <v>87.8</v>
      </c>
      <c r="S46" s="1" t="n">
        <f aca="false">J46</f>
        <v>1</v>
      </c>
      <c r="T46" s="1" t="n">
        <f aca="false">K46</f>
        <v>0</v>
      </c>
      <c r="U46" s="1" t="n">
        <f aca="false">L46</f>
        <v>0</v>
      </c>
      <c r="W46" s="1" t="n">
        <f aca="false">E46</f>
        <v>3642</v>
      </c>
      <c r="X46" s="1" t="n">
        <f aca="false">D46</f>
        <v>64882.14</v>
      </c>
      <c r="Y46" s="1" t="n">
        <f aca="false">G46</f>
        <v>87.8</v>
      </c>
      <c r="Z46" s="1" t="n">
        <f aca="false">F46</f>
        <v>0.019</v>
      </c>
      <c r="AA46" s="1" t="n">
        <f aca="false">H46</f>
        <v>4.2</v>
      </c>
      <c r="AB46" s="1" t="n">
        <f aca="false">J46</f>
        <v>1</v>
      </c>
      <c r="AC46" s="1" t="n">
        <f aca="false">K46</f>
        <v>0</v>
      </c>
      <c r="AD46" s="1" t="n">
        <f aca="false">L46</f>
        <v>0</v>
      </c>
    </row>
    <row r="47" customFormat="false" ht="15" hidden="false" customHeight="false" outlineLevel="0" collapsed="false">
      <c r="A47" s="5" t="s">
        <v>46</v>
      </c>
      <c r="B47" s="5" t="s">
        <v>40</v>
      </c>
      <c r="C47" s="5" t="s">
        <v>29</v>
      </c>
      <c r="D47" s="5" t="n">
        <v>138855.51</v>
      </c>
      <c r="E47" s="5" t="n">
        <v>5145</v>
      </c>
      <c r="F47" s="5" t="n">
        <v>0.06</v>
      </c>
      <c r="G47" s="5" t="n">
        <v>88.2</v>
      </c>
      <c r="H47" s="5" t="n">
        <v>3.2</v>
      </c>
      <c r="I47" s="5" t="n">
        <v>595467.6</v>
      </c>
      <c r="J47" s="5" t="n">
        <v>0</v>
      </c>
      <c r="K47" s="5" t="n">
        <v>1</v>
      </c>
      <c r="L47" s="5" t="n">
        <v>0</v>
      </c>
      <c r="P47" s="1" t="n">
        <f aca="false">E47</f>
        <v>5145</v>
      </c>
      <c r="Q47" s="1" t="n">
        <f aca="false">D47</f>
        <v>138855.51</v>
      </c>
      <c r="R47" s="1" t="n">
        <f aca="false">G47</f>
        <v>88.2</v>
      </c>
      <c r="S47" s="1" t="n">
        <f aca="false">J47</f>
        <v>0</v>
      </c>
      <c r="T47" s="1" t="n">
        <f aca="false">K47</f>
        <v>1</v>
      </c>
      <c r="U47" s="1" t="n">
        <f aca="false">L47</f>
        <v>0</v>
      </c>
      <c r="W47" s="1" t="n">
        <f aca="false">E47</f>
        <v>5145</v>
      </c>
      <c r="X47" s="1" t="n">
        <f aca="false">D47</f>
        <v>138855.51</v>
      </c>
      <c r="Y47" s="1" t="n">
        <f aca="false">G47</f>
        <v>88.2</v>
      </c>
      <c r="Z47" s="1" t="n">
        <f aca="false">F47</f>
        <v>0.06</v>
      </c>
      <c r="AA47" s="1" t="n">
        <f aca="false">H47</f>
        <v>3.2</v>
      </c>
      <c r="AB47" s="1" t="n">
        <f aca="false">J47</f>
        <v>0</v>
      </c>
      <c r="AC47" s="1" t="n">
        <f aca="false">K47</f>
        <v>1</v>
      </c>
      <c r="AD47" s="1" t="n">
        <f aca="false">L47</f>
        <v>0</v>
      </c>
    </row>
    <row r="48" customFormat="false" ht="15" hidden="false" customHeight="false" outlineLevel="0" collapsed="false">
      <c r="A48" s="5" t="s">
        <v>46</v>
      </c>
      <c r="B48" s="5" t="s">
        <v>40</v>
      </c>
      <c r="C48" s="5" t="s">
        <v>29</v>
      </c>
      <c r="D48" s="5" t="n">
        <v>63630.21</v>
      </c>
      <c r="E48" s="5" t="n">
        <v>4460</v>
      </c>
      <c r="F48" s="5" t="n">
        <v>0.235</v>
      </c>
      <c r="G48" s="5" t="n">
        <v>98.6</v>
      </c>
      <c r="H48" s="5" t="n">
        <v>3.5</v>
      </c>
      <c r="I48" s="5" t="n">
        <v>599603.4</v>
      </c>
      <c r="J48" s="5" t="n">
        <v>0</v>
      </c>
      <c r="K48" s="5" t="n">
        <v>1</v>
      </c>
      <c r="L48" s="5" t="n">
        <v>0</v>
      </c>
      <c r="P48" s="1" t="n">
        <f aca="false">E48</f>
        <v>4460</v>
      </c>
      <c r="Q48" s="1" t="n">
        <f aca="false">D48</f>
        <v>63630.21</v>
      </c>
      <c r="R48" s="1" t="n">
        <f aca="false">G48</f>
        <v>98.6</v>
      </c>
      <c r="S48" s="1" t="n">
        <f aca="false">J48</f>
        <v>0</v>
      </c>
      <c r="T48" s="1" t="n">
        <f aca="false">K48</f>
        <v>1</v>
      </c>
      <c r="U48" s="1" t="n">
        <f aca="false">L48</f>
        <v>0</v>
      </c>
      <c r="W48" s="1" t="n">
        <f aca="false">E48</f>
        <v>4460</v>
      </c>
      <c r="X48" s="1" t="n">
        <f aca="false">D48</f>
        <v>63630.21</v>
      </c>
      <c r="Y48" s="1" t="n">
        <f aca="false">G48</f>
        <v>98.6</v>
      </c>
      <c r="Z48" s="1" t="n">
        <f aca="false">F48</f>
        <v>0.235</v>
      </c>
      <c r="AA48" s="1" t="n">
        <f aca="false">H48</f>
        <v>3.5</v>
      </c>
      <c r="AB48" s="1" t="n">
        <f aca="false">J48</f>
        <v>0</v>
      </c>
      <c r="AC48" s="1" t="n">
        <f aca="false">K48</f>
        <v>1</v>
      </c>
      <c r="AD48" s="1" t="n">
        <f aca="false">L48</f>
        <v>0</v>
      </c>
    </row>
    <row r="49" customFormat="false" ht="15" hidden="false" customHeight="false" outlineLevel="0" collapsed="false">
      <c r="A49" s="5" t="s">
        <v>46</v>
      </c>
      <c r="B49" s="5" t="s">
        <v>40</v>
      </c>
      <c r="C49" s="5" t="s">
        <v>29</v>
      </c>
      <c r="D49" s="5" t="n">
        <v>50043.65</v>
      </c>
      <c r="E49" s="5" t="n">
        <v>3804</v>
      </c>
      <c r="F49" s="5" t="n">
        <v>0.113</v>
      </c>
      <c r="G49" s="5" t="n">
        <v>90.9</v>
      </c>
      <c r="H49" s="5" t="n">
        <v>3.2</v>
      </c>
      <c r="I49" s="5" t="n">
        <v>614800.09</v>
      </c>
      <c r="J49" s="5" t="n">
        <v>0</v>
      </c>
      <c r="K49" s="5" t="n">
        <v>1</v>
      </c>
      <c r="L49" s="5" t="n">
        <v>0</v>
      </c>
      <c r="P49" s="1" t="n">
        <f aca="false">E49</f>
        <v>3804</v>
      </c>
      <c r="Q49" s="1" t="n">
        <f aca="false">D49</f>
        <v>50043.65</v>
      </c>
      <c r="R49" s="1" t="n">
        <f aca="false">G49</f>
        <v>90.9</v>
      </c>
      <c r="S49" s="1" t="n">
        <f aca="false">J49</f>
        <v>0</v>
      </c>
      <c r="T49" s="1" t="n">
        <f aca="false">K49</f>
        <v>1</v>
      </c>
      <c r="U49" s="1" t="n">
        <f aca="false">L49</f>
        <v>0</v>
      </c>
      <c r="W49" s="1" t="n">
        <f aca="false">E49</f>
        <v>3804</v>
      </c>
      <c r="X49" s="1" t="n">
        <f aca="false">D49</f>
        <v>50043.65</v>
      </c>
      <c r="Y49" s="1" t="n">
        <f aca="false">G49</f>
        <v>90.9</v>
      </c>
      <c r="Z49" s="1" t="n">
        <f aca="false">F49</f>
        <v>0.113</v>
      </c>
      <c r="AA49" s="1" t="n">
        <f aca="false">H49</f>
        <v>3.2</v>
      </c>
      <c r="AB49" s="1" t="n">
        <f aca="false">J49</f>
        <v>0</v>
      </c>
      <c r="AC49" s="1" t="n">
        <f aca="false">K49</f>
        <v>1</v>
      </c>
      <c r="AD49" s="1" t="n">
        <f aca="false">L49</f>
        <v>0</v>
      </c>
    </row>
    <row r="50" customFormat="false" ht="15" hidden="false" customHeight="false" outlineLevel="0" collapsed="false">
      <c r="A50" s="5" t="s">
        <v>46</v>
      </c>
      <c r="B50" s="5" t="s">
        <v>40</v>
      </c>
      <c r="C50" s="5" t="s">
        <v>29</v>
      </c>
      <c r="D50" s="5" t="n">
        <v>42093.84</v>
      </c>
      <c r="E50" s="5" t="n">
        <v>4074</v>
      </c>
      <c r="F50" s="5" t="n">
        <v>0.155</v>
      </c>
      <c r="G50" s="5" t="n">
        <v>88</v>
      </c>
      <c r="H50" s="5" t="n">
        <v>3.3</v>
      </c>
      <c r="I50" s="5" t="n">
        <v>585365.73</v>
      </c>
      <c r="J50" s="5" t="n">
        <v>0</v>
      </c>
      <c r="K50" s="5" t="n">
        <v>1</v>
      </c>
      <c r="L50" s="5" t="n">
        <v>0</v>
      </c>
      <c r="P50" s="1" t="n">
        <f aca="false">E50</f>
        <v>4074</v>
      </c>
      <c r="Q50" s="1" t="n">
        <f aca="false">D50</f>
        <v>42093.84</v>
      </c>
      <c r="R50" s="1" t="n">
        <f aca="false">G50</f>
        <v>88</v>
      </c>
      <c r="S50" s="1" t="n">
        <f aca="false">J50</f>
        <v>0</v>
      </c>
      <c r="T50" s="1" t="n">
        <f aca="false">K50</f>
        <v>1</v>
      </c>
      <c r="U50" s="1" t="n">
        <f aca="false">L50</f>
        <v>0</v>
      </c>
      <c r="W50" s="1" t="n">
        <f aca="false">E50</f>
        <v>4074</v>
      </c>
      <c r="X50" s="1" t="n">
        <f aca="false">D50</f>
        <v>42093.84</v>
      </c>
      <c r="Y50" s="1" t="n">
        <f aca="false">G50</f>
        <v>88</v>
      </c>
      <c r="Z50" s="1" t="n">
        <f aca="false">F50</f>
        <v>0.155</v>
      </c>
      <c r="AA50" s="1" t="n">
        <f aca="false">H50</f>
        <v>3.3</v>
      </c>
      <c r="AB50" s="1" t="n">
        <f aca="false">J50</f>
        <v>0</v>
      </c>
      <c r="AC50" s="1" t="n">
        <f aca="false">K50</f>
        <v>1</v>
      </c>
      <c r="AD50" s="1" t="n">
        <f aca="false">L50</f>
        <v>0</v>
      </c>
    </row>
    <row r="51" customFormat="false" ht="15" hidden="false" customHeight="false" outlineLevel="0" collapsed="false">
      <c r="A51" s="5" t="s">
        <v>47</v>
      </c>
      <c r="B51" s="5" t="s">
        <v>33</v>
      </c>
      <c r="C51" s="5" t="s">
        <v>41</v>
      </c>
      <c r="D51" s="5" t="n">
        <v>46624.05</v>
      </c>
      <c r="E51" s="5" t="n">
        <v>5104</v>
      </c>
      <c r="F51" s="5" t="n">
        <v>0.109</v>
      </c>
      <c r="G51" s="5" t="n">
        <v>97.3</v>
      </c>
      <c r="H51" s="5" t="n">
        <v>4.7</v>
      </c>
      <c r="I51" s="5" t="n">
        <v>622811.74</v>
      </c>
      <c r="J51" s="5" t="n">
        <v>1</v>
      </c>
      <c r="K51" s="5" t="n">
        <v>0</v>
      </c>
      <c r="L51" s="5" t="n">
        <v>0</v>
      </c>
      <c r="P51" s="1" t="n">
        <f aca="false">E51</f>
        <v>5104</v>
      </c>
      <c r="Q51" s="1" t="n">
        <f aca="false">D51</f>
        <v>46624.05</v>
      </c>
      <c r="R51" s="1" t="n">
        <f aca="false">G51</f>
        <v>97.3</v>
      </c>
      <c r="S51" s="1" t="n">
        <f aca="false">J51</f>
        <v>1</v>
      </c>
      <c r="T51" s="1" t="n">
        <f aca="false">K51</f>
        <v>0</v>
      </c>
      <c r="U51" s="1" t="n">
        <f aca="false">L51</f>
        <v>0</v>
      </c>
      <c r="W51" s="1" t="n">
        <f aca="false">E51</f>
        <v>5104</v>
      </c>
      <c r="X51" s="1" t="n">
        <f aca="false">D51</f>
        <v>46624.05</v>
      </c>
      <c r="Y51" s="1" t="n">
        <f aca="false">G51</f>
        <v>97.3</v>
      </c>
      <c r="Z51" s="1" t="n">
        <f aca="false">F51</f>
        <v>0.109</v>
      </c>
      <c r="AA51" s="1" t="n">
        <f aca="false">H51</f>
        <v>4.7</v>
      </c>
      <c r="AB51" s="1" t="n">
        <f aca="false">J51</f>
        <v>1</v>
      </c>
      <c r="AC51" s="1" t="n">
        <f aca="false">K51</f>
        <v>0</v>
      </c>
      <c r="AD51" s="1" t="n">
        <f aca="false">L51</f>
        <v>0</v>
      </c>
    </row>
    <row r="52" customFormat="false" ht="15" hidden="false" customHeight="false" outlineLevel="0" collapsed="false">
      <c r="A52" s="5" t="s">
        <v>47</v>
      </c>
      <c r="B52" s="5" t="s">
        <v>33</v>
      </c>
      <c r="C52" s="5" t="s">
        <v>41</v>
      </c>
      <c r="D52" s="5" t="n">
        <v>49710.29</v>
      </c>
      <c r="E52" s="5" t="n">
        <v>5559</v>
      </c>
      <c r="F52" s="5" t="n">
        <v>0.218</v>
      </c>
      <c r="G52" s="5" t="n">
        <v>71</v>
      </c>
      <c r="H52" s="5" t="n">
        <v>4.6</v>
      </c>
      <c r="I52" s="5" t="n">
        <v>603297.57</v>
      </c>
      <c r="J52" s="5" t="n">
        <v>1</v>
      </c>
      <c r="K52" s="5" t="n">
        <v>0</v>
      </c>
      <c r="L52" s="5" t="n">
        <v>0</v>
      </c>
      <c r="P52" s="1" t="n">
        <f aca="false">E52</f>
        <v>5559</v>
      </c>
      <c r="Q52" s="1" t="n">
        <f aca="false">D52</f>
        <v>49710.29</v>
      </c>
      <c r="R52" s="1" t="n">
        <f aca="false">G52</f>
        <v>71</v>
      </c>
      <c r="S52" s="1" t="n">
        <f aca="false">J52</f>
        <v>1</v>
      </c>
      <c r="T52" s="1" t="n">
        <f aca="false">K52</f>
        <v>0</v>
      </c>
      <c r="U52" s="1" t="n">
        <f aca="false">L52</f>
        <v>0</v>
      </c>
      <c r="W52" s="1" t="n">
        <f aca="false">E52</f>
        <v>5559</v>
      </c>
      <c r="X52" s="1" t="n">
        <f aca="false">D52</f>
        <v>49710.29</v>
      </c>
      <c r="Y52" s="1" t="n">
        <f aca="false">G52</f>
        <v>71</v>
      </c>
      <c r="Z52" s="1" t="n">
        <f aca="false">F52</f>
        <v>0.218</v>
      </c>
      <c r="AA52" s="1" t="n">
        <f aca="false">H52</f>
        <v>4.6</v>
      </c>
      <c r="AB52" s="1" t="n">
        <f aca="false">J52</f>
        <v>1</v>
      </c>
      <c r="AC52" s="1" t="n">
        <f aca="false">K52</f>
        <v>0</v>
      </c>
      <c r="AD52" s="1" t="n">
        <f aca="false">L52</f>
        <v>0</v>
      </c>
    </row>
    <row r="53" customFormat="false" ht="15" hidden="false" customHeight="false" outlineLevel="0" collapsed="false">
      <c r="A53" s="5" t="s">
        <v>47</v>
      </c>
      <c r="B53" s="5" t="s">
        <v>33</v>
      </c>
      <c r="C53" s="5" t="s">
        <v>41</v>
      </c>
      <c r="D53" s="5" t="n">
        <v>48287.85</v>
      </c>
      <c r="E53" s="5" t="n">
        <v>5150</v>
      </c>
      <c r="F53" s="5" t="n">
        <v>0.008</v>
      </c>
      <c r="G53" s="5" t="n">
        <v>80.4</v>
      </c>
      <c r="H53" s="5" t="n">
        <v>4.5</v>
      </c>
      <c r="I53" s="5" t="n">
        <v>625672.86</v>
      </c>
      <c r="J53" s="5" t="n">
        <v>1</v>
      </c>
      <c r="K53" s="5" t="n">
        <v>0</v>
      </c>
      <c r="L53" s="5" t="n">
        <v>0</v>
      </c>
      <c r="P53" s="1" t="n">
        <f aca="false">E53</f>
        <v>5150</v>
      </c>
      <c r="Q53" s="1" t="n">
        <f aca="false">D53</f>
        <v>48287.85</v>
      </c>
      <c r="R53" s="1" t="n">
        <f aca="false">G53</f>
        <v>80.4</v>
      </c>
      <c r="S53" s="1" t="n">
        <f aca="false">J53</f>
        <v>1</v>
      </c>
      <c r="T53" s="1" t="n">
        <f aca="false">K53</f>
        <v>0</v>
      </c>
      <c r="U53" s="1" t="n">
        <f aca="false">L53</f>
        <v>0</v>
      </c>
      <c r="W53" s="1" t="n">
        <f aca="false">E53</f>
        <v>5150</v>
      </c>
      <c r="X53" s="1" t="n">
        <f aca="false">D53</f>
        <v>48287.85</v>
      </c>
      <c r="Y53" s="1" t="n">
        <f aca="false">G53</f>
        <v>80.4</v>
      </c>
      <c r="Z53" s="1" t="n">
        <f aca="false">F53</f>
        <v>0.008</v>
      </c>
      <c r="AA53" s="1" t="n">
        <f aca="false">H53</f>
        <v>4.5</v>
      </c>
      <c r="AB53" s="1" t="n">
        <f aca="false">J53</f>
        <v>1</v>
      </c>
      <c r="AC53" s="1" t="n">
        <f aca="false">K53</f>
        <v>0</v>
      </c>
      <c r="AD53" s="1" t="n">
        <f aca="false">L53</f>
        <v>0</v>
      </c>
    </row>
    <row r="54" customFormat="false" ht="15" hidden="false" customHeight="false" outlineLevel="0" collapsed="false">
      <c r="A54" s="5" t="s">
        <v>47</v>
      </c>
      <c r="B54" s="5" t="s">
        <v>33</v>
      </c>
      <c r="C54" s="5" t="s">
        <v>41</v>
      </c>
      <c r="D54" s="5" t="n">
        <v>65312.49</v>
      </c>
      <c r="E54" s="5" t="n">
        <v>7189</v>
      </c>
      <c r="F54" s="5" t="n">
        <v>0.05</v>
      </c>
      <c r="G54" s="5" t="n">
        <v>93.7</v>
      </c>
      <c r="H54" s="5" t="n">
        <v>4.6</v>
      </c>
      <c r="I54" s="5" t="n">
        <v>773815.14</v>
      </c>
      <c r="J54" s="5" t="n">
        <v>1</v>
      </c>
      <c r="K54" s="5" t="n">
        <v>0</v>
      </c>
      <c r="L54" s="5" t="n">
        <v>0</v>
      </c>
      <c r="P54" s="1" t="n">
        <f aca="false">E54</f>
        <v>7189</v>
      </c>
      <c r="Q54" s="1" t="n">
        <f aca="false">D54</f>
        <v>65312.49</v>
      </c>
      <c r="R54" s="1" t="n">
        <f aca="false">G54</f>
        <v>93.7</v>
      </c>
      <c r="S54" s="1" t="n">
        <f aca="false">J54</f>
        <v>1</v>
      </c>
      <c r="T54" s="1" t="n">
        <f aca="false">K54</f>
        <v>0</v>
      </c>
      <c r="U54" s="1" t="n">
        <f aca="false">L54</f>
        <v>0</v>
      </c>
      <c r="W54" s="1" t="n">
        <f aca="false">E54</f>
        <v>7189</v>
      </c>
      <c r="X54" s="1" t="n">
        <f aca="false">D54</f>
        <v>65312.49</v>
      </c>
      <c r="Y54" s="1" t="n">
        <f aca="false">G54</f>
        <v>93.7</v>
      </c>
      <c r="Z54" s="1" t="n">
        <f aca="false">F54</f>
        <v>0.05</v>
      </c>
      <c r="AA54" s="1" t="n">
        <f aca="false">H54</f>
        <v>4.6</v>
      </c>
      <c r="AB54" s="1" t="n">
        <f aca="false">J54</f>
        <v>1</v>
      </c>
      <c r="AC54" s="1" t="n">
        <f aca="false">K54</f>
        <v>0</v>
      </c>
      <c r="AD54" s="1" t="n">
        <f aca="false">L54</f>
        <v>0</v>
      </c>
    </row>
    <row r="55" customFormat="false" ht="15" hidden="false" customHeight="false" outlineLevel="0" collapsed="false">
      <c r="A55" s="5" t="s">
        <v>48</v>
      </c>
      <c r="B55" s="5" t="s">
        <v>40</v>
      </c>
      <c r="C55" s="5" t="s">
        <v>31</v>
      </c>
      <c r="D55" s="5" t="n">
        <v>53015.46</v>
      </c>
      <c r="E55" s="5" t="n">
        <v>3279</v>
      </c>
      <c r="F55" s="5" t="n">
        <v>0.087</v>
      </c>
      <c r="G55" s="5" t="n">
        <v>84.3</v>
      </c>
      <c r="H55" s="5" t="n">
        <v>3.9</v>
      </c>
      <c r="I55" s="5" t="n">
        <v>463534.25</v>
      </c>
      <c r="J55" s="5" t="n">
        <v>0</v>
      </c>
      <c r="K55" s="5" t="n">
        <v>0</v>
      </c>
      <c r="L55" s="5" t="n">
        <v>0</v>
      </c>
      <c r="P55" s="1" t="n">
        <f aca="false">E55</f>
        <v>3279</v>
      </c>
      <c r="Q55" s="1" t="n">
        <f aca="false">D55</f>
        <v>53015.46</v>
      </c>
      <c r="R55" s="1" t="n">
        <f aca="false">G55</f>
        <v>84.3</v>
      </c>
      <c r="S55" s="1" t="n">
        <f aca="false">J55</f>
        <v>0</v>
      </c>
      <c r="T55" s="1" t="n">
        <f aca="false">K55</f>
        <v>0</v>
      </c>
      <c r="U55" s="1" t="n">
        <f aca="false">L55</f>
        <v>0</v>
      </c>
      <c r="W55" s="1" t="n">
        <f aca="false">E55</f>
        <v>3279</v>
      </c>
      <c r="X55" s="1" t="n">
        <f aca="false">D55</f>
        <v>53015.46</v>
      </c>
      <c r="Y55" s="1" t="n">
        <f aca="false">G55</f>
        <v>84.3</v>
      </c>
      <c r="Z55" s="1" t="n">
        <f aca="false">F55</f>
        <v>0.087</v>
      </c>
      <c r="AA55" s="1" t="n">
        <f aca="false">H55</f>
        <v>3.9</v>
      </c>
      <c r="AB55" s="1" t="n">
        <f aca="false">J55</f>
        <v>0</v>
      </c>
      <c r="AC55" s="1" t="n">
        <f aca="false">K55</f>
        <v>0</v>
      </c>
      <c r="AD55" s="1" t="n">
        <f aca="false">L55</f>
        <v>0</v>
      </c>
    </row>
    <row r="56" customFormat="false" ht="15" hidden="false" customHeight="false" outlineLevel="0" collapsed="false">
      <c r="A56" s="5" t="s">
        <v>48</v>
      </c>
      <c r="B56" s="5" t="s">
        <v>40</v>
      </c>
      <c r="C56" s="5" t="s">
        <v>31</v>
      </c>
      <c r="D56" s="5" t="n">
        <v>99874.01</v>
      </c>
      <c r="E56" s="5" t="n">
        <v>5887</v>
      </c>
      <c r="F56" s="5" t="n">
        <v>0.262</v>
      </c>
      <c r="G56" s="5" t="n">
        <v>88.7</v>
      </c>
      <c r="H56" s="5" t="n">
        <v>4.7</v>
      </c>
      <c r="I56" s="5" t="n">
        <v>746677.75</v>
      </c>
      <c r="J56" s="5" t="n">
        <v>0</v>
      </c>
      <c r="K56" s="5" t="n">
        <v>0</v>
      </c>
      <c r="L56" s="5" t="n">
        <v>0</v>
      </c>
      <c r="P56" s="1" t="n">
        <f aca="false">E56</f>
        <v>5887</v>
      </c>
      <c r="Q56" s="1" t="n">
        <f aca="false">D56</f>
        <v>99874.01</v>
      </c>
      <c r="R56" s="1" t="n">
        <f aca="false">G56</f>
        <v>88.7</v>
      </c>
      <c r="S56" s="1" t="n">
        <f aca="false">J56</f>
        <v>0</v>
      </c>
      <c r="T56" s="1" t="n">
        <f aca="false">K56</f>
        <v>0</v>
      </c>
      <c r="U56" s="1" t="n">
        <f aca="false">L56</f>
        <v>0</v>
      </c>
      <c r="W56" s="1" t="n">
        <f aca="false">E56</f>
        <v>5887</v>
      </c>
      <c r="X56" s="1" t="n">
        <f aca="false">D56</f>
        <v>99874.01</v>
      </c>
      <c r="Y56" s="1" t="n">
        <f aca="false">G56</f>
        <v>88.7</v>
      </c>
      <c r="Z56" s="1" t="n">
        <f aca="false">F56</f>
        <v>0.262</v>
      </c>
      <c r="AA56" s="1" t="n">
        <f aca="false">H56</f>
        <v>4.7</v>
      </c>
      <c r="AB56" s="1" t="n">
        <f aca="false">J56</f>
        <v>0</v>
      </c>
      <c r="AC56" s="1" t="n">
        <f aca="false">K56</f>
        <v>0</v>
      </c>
      <c r="AD56" s="1" t="n">
        <f aca="false">L56</f>
        <v>0</v>
      </c>
    </row>
    <row r="57" customFormat="false" ht="15" hidden="false" customHeight="false" outlineLevel="0" collapsed="false">
      <c r="A57" s="5" t="s">
        <v>48</v>
      </c>
      <c r="B57" s="5" t="s">
        <v>40</v>
      </c>
      <c r="C57" s="5" t="s">
        <v>31</v>
      </c>
      <c r="D57" s="5" t="n">
        <v>81195.5</v>
      </c>
      <c r="E57" s="5" t="n">
        <v>5516</v>
      </c>
      <c r="F57" s="5" t="n">
        <v>0.106</v>
      </c>
      <c r="G57" s="5" t="n">
        <v>88</v>
      </c>
      <c r="H57" s="5" t="n">
        <v>4.3</v>
      </c>
      <c r="I57" s="5" t="n">
        <v>720852.5</v>
      </c>
      <c r="J57" s="5" t="n">
        <v>0</v>
      </c>
      <c r="K57" s="5" t="n">
        <v>0</v>
      </c>
      <c r="L57" s="5" t="n">
        <v>0</v>
      </c>
      <c r="P57" s="1" t="n">
        <f aca="false">E57</f>
        <v>5516</v>
      </c>
      <c r="Q57" s="1" t="n">
        <f aca="false">D57</f>
        <v>81195.5</v>
      </c>
      <c r="R57" s="1" t="n">
        <f aca="false">G57</f>
        <v>88</v>
      </c>
      <c r="S57" s="1" t="n">
        <f aca="false">J57</f>
        <v>0</v>
      </c>
      <c r="T57" s="1" t="n">
        <f aca="false">K57</f>
        <v>0</v>
      </c>
      <c r="U57" s="1" t="n">
        <f aca="false">L57</f>
        <v>0</v>
      </c>
      <c r="W57" s="1" t="n">
        <f aca="false">E57</f>
        <v>5516</v>
      </c>
      <c r="X57" s="1" t="n">
        <f aca="false">D57</f>
        <v>81195.5</v>
      </c>
      <c r="Y57" s="1" t="n">
        <f aca="false">G57</f>
        <v>88</v>
      </c>
      <c r="Z57" s="1" t="n">
        <f aca="false">F57</f>
        <v>0.106</v>
      </c>
      <c r="AA57" s="1" t="n">
        <f aca="false">H57</f>
        <v>4.3</v>
      </c>
      <c r="AB57" s="1" t="n">
        <f aca="false">J57</f>
        <v>0</v>
      </c>
      <c r="AC57" s="1" t="n">
        <f aca="false">K57</f>
        <v>0</v>
      </c>
      <c r="AD57" s="1" t="n">
        <f aca="false">L57</f>
        <v>0</v>
      </c>
    </row>
    <row r="58" customFormat="false" ht="15" hidden="false" customHeight="false" outlineLevel="0" collapsed="false">
      <c r="A58" s="5" t="s">
        <v>48</v>
      </c>
      <c r="B58" s="5" t="s">
        <v>40</v>
      </c>
      <c r="C58" s="5" t="s">
        <v>31</v>
      </c>
      <c r="D58" s="5" t="n">
        <v>27808.6</v>
      </c>
      <c r="E58" s="5" t="n">
        <v>2863</v>
      </c>
      <c r="F58" s="5" t="n">
        <v>0.08</v>
      </c>
      <c r="G58" s="5" t="n">
        <v>89.3</v>
      </c>
      <c r="H58" s="5" t="n">
        <v>4.1</v>
      </c>
      <c r="I58" s="5" t="n">
        <v>487464.91</v>
      </c>
      <c r="J58" s="5" t="n">
        <v>0</v>
      </c>
      <c r="K58" s="5" t="n">
        <v>0</v>
      </c>
      <c r="L58" s="5" t="n">
        <v>0</v>
      </c>
      <c r="P58" s="1" t="n">
        <f aca="false">E58</f>
        <v>2863</v>
      </c>
      <c r="Q58" s="1" t="n">
        <f aca="false">D58</f>
        <v>27808.6</v>
      </c>
      <c r="R58" s="1" t="n">
        <f aca="false">G58</f>
        <v>89.3</v>
      </c>
      <c r="S58" s="1" t="n">
        <f aca="false">J58</f>
        <v>0</v>
      </c>
      <c r="T58" s="1" t="n">
        <f aca="false">K58</f>
        <v>0</v>
      </c>
      <c r="U58" s="1" t="n">
        <f aca="false">L58</f>
        <v>0</v>
      </c>
      <c r="W58" s="1" t="n">
        <f aca="false">E58</f>
        <v>2863</v>
      </c>
      <c r="X58" s="1" t="n">
        <f aca="false">D58</f>
        <v>27808.6</v>
      </c>
      <c r="Y58" s="1" t="n">
        <f aca="false">G58</f>
        <v>89.3</v>
      </c>
      <c r="Z58" s="1" t="n">
        <f aca="false">F58</f>
        <v>0.08</v>
      </c>
      <c r="AA58" s="1" t="n">
        <f aca="false">H58</f>
        <v>4.1</v>
      </c>
      <c r="AB58" s="1" t="n">
        <f aca="false">J58</f>
        <v>0</v>
      </c>
      <c r="AC58" s="1" t="n">
        <f aca="false">K58</f>
        <v>0</v>
      </c>
      <c r="AD58" s="1" t="n">
        <f aca="false">L58</f>
        <v>0</v>
      </c>
    </row>
    <row r="59" customFormat="false" ht="15" hidden="false" customHeight="false" outlineLevel="0" collapsed="false">
      <c r="A59" s="5" t="s">
        <v>49</v>
      </c>
      <c r="B59" s="5" t="s">
        <v>28</v>
      </c>
      <c r="C59" s="5" t="s">
        <v>34</v>
      </c>
      <c r="D59" s="5" t="n">
        <v>19365.06</v>
      </c>
      <c r="E59" s="5" t="n">
        <v>2378</v>
      </c>
      <c r="F59" s="5" t="n">
        <v>0</v>
      </c>
      <c r="G59" s="5" t="n">
        <v>94.8</v>
      </c>
      <c r="H59" s="5" t="n">
        <v>3.5</v>
      </c>
      <c r="I59" s="5" t="n">
        <v>518049.26</v>
      </c>
      <c r="J59" s="5" t="n">
        <v>0</v>
      </c>
      <c r="K59" s="5" t="n">
        <v>0</v>
      </c>
      <c r="L59" s="5" t="n">
        <v>1</v>
      </c>
      <c r="P59" s="1" t="n">
        <f aca="false">E59</f>
        <v>2378</v>
      </c>
      <c r="Q59" s="1" t="n">
        <f aca="false">D59</f>
        <v>19365.06</v>
      </c>
      <c r="R59" s="1" t="n">
        <f aca="false">G59</f>
        <v>94.8</v>
      </c>
      <c r="S59" s="1" t="n">
        <f aca="false">J59</f>
        <v>0</v>
      </c>
      <c r="T59" s="1" t="n">
        <f aca="false">K59</f>
        <v>0</v>
      </c>
      <c r="U59" s="1" t="n">
        <f aca="false">L59</f>
        <v>1</v>
      </c>
      <c r="W59" s="1" t="n">
        <f aca="false">E59</f>
        <v>2378</v>
      </c>
      <c r="X59" s="1" t="n">
        <f aca="false">D59</f>
        <v>19365.06</v>
      </c>
      <c r="Y59" s="1" t="n">
        <f aca="false">G59</f>
        <v>94.8</v>
      </c>
      <c r="Z59" s="1" t="n">
        <f aca="false">F59</f>
        <v>0</v>
      </c>
      <c r="AA59" s="1" t="n">
        <f aca="false">H59</f>
        <v>3.5</v>
      </c>
      <c r="AB59" s="1" t="n">
        <f aca="false">J59</f>
        <v>0</v>
      </c>
      <c r="AC59" s="1" t="n">
        <f aca="false">K59</f>
        <v>0</v>
      </c>
      <c r="AD59" s="1" t="n">
        <f aca="false">L59</f>
        <v>1</v>
      </c>
    </row>
    <row r="60" customFormat="false" ht="15" hidden="false" customHeight="false" outlineLevel="0" collapsed="false">
      <c r="A60" s="5" t="s">
        <v>49</v>
      </c>
      <c r="B60" s="5" t="s">
        <v>28</v>
      </c>
      <c r="C60" s="5" t="s">
        <v>34</v>
      </c>
      <c r="D60" s="5" t="n">
        <v>59405.68</v>
      </c>
      <c r="E60" s="5" t="n">
        <v>2515</v>
      </c>
      <c r="F60" s="5" t="n">
        <v>0.039</v>
      </c>
      <c r="G60" s="5" t="n">
        <v>76</v>
      </c>
      <c r="H60" s="5" t="n">
        <v>3.7</v>
      </c>
      <c r="I60" s="5" t="n">
        <v>500298.48</v>
      </c>
      <c r="J60" s="5" t="n">
        <v>0</v>
      </c>
      <c r="K60" s="5" t="n">
        <v>0</v>
      </c>
      <c r="L60" s="5" t="n">
        <v>1</v>
      </c>
      <c r="P60" s="1" t="n">
        <f aca="false">E60</f>
        <v>2515</v>
      </c>
      <c r="Q60" s="1" t="n">
        <f aca="false">D60</f>
        <v>59405.68</v>
      </c>
      <c r="R60" s="1" t="n">
        <f aca="false">G60</f>
        <v>76</v>
      </c>
      <c r="S60" s="1" t="n">
        <f aca="false">J60</f>
        <v>0</v>
      </c>
      <c r="T60" s="1" t="n">
        <f aca="false">K60</f>
        <v>0</v>
      </c>
      <c r="U60" s="1" t="n">
        <f aca="false">L60</f>
        <v>1</v>
      </c>
      <c r="W60" s="1" t="n">
        <f aca="false">E60</f>
        <v>2515</v>
      </c>
      <c r="X60" s="1" t="n">
        <f aca="false">D60</f>
        <v>59405.68</v>
      </c>
      <c r="Y60" s="1" t="n">
        <f aca="false">G60</f>
        <v>76</v>
      </c>
      <c r="Z60" s="1" t="n">
        <f aca="false">F60</f>
        <v>0.039</v>
      </c>
      <c r="AA60" s="1" t="n">
        <f aca="false">H60</f>
        <v>3.7</v>
      </c>
      <c r="AB60" s="1" t="n">
        <f aca="false">J60</f>
        <v>0</v>
      </c>
      <c r="AC60" s="1" t="n">
        <f aca="false">K60</f>
        <v>0</v>
      </c>
      <c r="AD60" s="1" t="n">
        <f aca="false">L60</f>
        <v>1</v>
      </c>
    </row>
    <row r="61" customFormat="false" ht="15" hidden="false" customHeight="false" outlineLevel="0" collapsed="false">
      <c r="A61" s="5" t="s">
        <v>49</v>
      </c>
      <c r="B61" s="5" t="s">
        <v>28</v>
      </c>
      <c r="C61" s="5" t="s">
        <v>34</v>
      </c>
      <c r="D61" s="5" t="n">
        <v>118910.48</v>
      </c>
      <c r="E61" s="5" t="n">
        <v>4022</v>
      </c>
      <c r="F61" s="5" t="n">
        <v>0.137</v>
      </c>
      <c r="G61" s="5" t="n">
        <v>87.1</v>
      </c>
      <c r="H61" s="5" t="n">
        <v>3.1</v>
      </c>
      <c r="I61" s="5" t="n">
        <v>617291.15</v>
      </c>
      <c r="J61" s="5" t="n">
        <v>0</v>
      </c>
      <c r="K61" s="5" t="n">
        <v>0</v>
      </c>
      <c r="L61" s="5" t="n">
        <v>1</v>
      </c>
      <c r="P61" s="1" t="n">
        <f aca="false">E61</f>
        <v>4022</v>
      </c>
      <c r="Q61" s="1" t="n">
        <f aca="false">D61</f>
        <v>118910.48</v>
      </c>
      <c r="R61" s="1" t="n">
        <f aca="false">G61</f>
        <v>87.1</v>
      </c>
      <c r="S61" s="1" t="n">
        <f aca="false">J61</f>
        <v>0</v>
      </c>
      <c r="T61" s="1" t="n">
        <f aca="false">K61</f>
        <v>0</v>
      </c>
      <c r="U61" s="1" t="n">
        <f aca="false">L61</f>
        <v>1</v>
      </c>
      <c r="W61" s="1" t="n">
        <f aca="false">E61</f>
        <v>4022</v>
      </c>
      <c r="X61" s="1" t="n">
        <f aca="false">D61</f>
        <v>118910.48</v>
      </c>
      <c r="Y61" s="1" t="n">
        <f aca="false">G61</f>
        <v>87.1</v>
      </c>
      <c r="Z61" s="1" t="n">
        <f aca="false">F61</f>
        <v>0.137</v>
      </c>
      <c r="AA61" s="1" t="n">
        <f aca="false">H61</f>
        <v>3.1</v>
      </c>
      <c r="AB61" s="1" t="n">
        <f aca="false">J61</f>
        <v>0</v>
      </c>
      <c r="AC61" s="1" t="n">
        <f aca="false">K61</f>
        <v>0</v>
      </c>
      <c r="AD61" s="1" t="n">
        <f aca="false">L61</f>
        <v>1</v>
      </c>
    </row>
    <row r="62" customFormat="false" ht="15" hidden="false" customHeight="false" outlineLevel="0" collapsed="false">
      <c r="A62" s="5" t="s">
        <v>49</v>
      </c>
      <c r="B62" s="5" t="s">
        <v>28</v>
      </c>
      <c r="C62" s="5" t="s">
        <v>34</v>
      </c>
      <c r="D62" s="5" t="n">
        <v>52952.12</v>
      </c>
      <c r="E62" s="5" t="n">
        <v>4377</v>
      </c>
      <c r="F62" s="5" t="n">
        <v>0.092</v>
      </c>
      <c r="G62" s="5" t="n">
        <v>88.6</v>
      </c>
      <c r="H62" s="5" t="n">
        <v>3.1</v>
      </c>
      <c r="I62" s="5" t="n">
        <v>553756.43</v>
      </c>
      <c r="J62" s="5" t="n">
        <v>0</v>
      </c>
      <c r="K62" s="5" t="n">
        <v>0</v>
      </c>
      <c r="L62" s="5" t="n">
        <v>1</v>
      </c>
      <c r="P62" s="1" t="n">
        <f aca="false">E62</f>
        <v>4377</v>
      </c>
      <c r="Q62" s="1" t="n">
        <f aca="false">D62</f>
        <v>52952.12</v>
      </c>
      <c r="R62" s="1" t="n">
        <f aca="false">G62</f>
        <v>88.6</v>
      </c>
      <c r="S62" s="1" t="n">
        <f aca="false">J62</f>
        <v>0</v>
      </c>
      <c r="T62" s="1" t="n">
        <f aca="false">K62</f>
        <v>0</v>
      </c>
      <c r="U62" s="1" t="n">
        <f aca="false">L62</f>
        <v>1</v>
      </c>
      <c r="W62" s="1" t="n">
        <f aca="false">E62</f>
        <v>4377</v>
      </c>
      <c r="X62" s="1" t="n">
        <f aca="false">D62</f>
        <v>52952.12</v>
      </c>
      <c r="Y62" s="1" t="n">
        <f aca="false">G62</f>
        <v>88.6</v>
      </c>
      <c r="Z62" s="1" t="n">
        <f aca="false">F62</f>
        <v>0.092</v>
      </c>
      <c r="AA62" s="1" t="n">
        <f aca="false">H62</f>
        <v>3.1</v>
      </c>
      <c r="AB62" s="1" t="n">
        <f aca="false">J62</f>
        <v>0</v>
      </c>
      <c r="AC62" s="1" t="n">
        <f aca="false">K62</f>
        <v>0</v>
      </c>
      <c r="AD62" s="1" t="n">
        <f aca="false">L62</f>
        <v>1</v>
      </c>
    </row>
    <row r="63" customFormat="false" ht="15" hidden="false" customHeight="false" outlineLevel="0" collapsed="false">
      <c r="A63" s="5" t="s">
        <v>50</v>
      </c>
      <c r="B63" s="5" t="s">
        <v>37</v>
      </c>
      <c r="C63" s="5" t="s">
        <v>31</v>
      </c>
      <c r="D63" s="5" t="n">
        <v>74907.98</v>
      </c>
      <c r="E63" s="5" t="n">
        <v>5306</v>
      </c>
      <c r="F63" s="5" t="n">
        <v>0.062</v>
      </c>
      <c r="G63" s="5" t="n">
        <v>95.6</v>
      </c>
      <c r="H63" s="5" t="n">
        <v>3.7</v>
      </c>
      <c r="I63" s="5" t="n">
        <v>749559.71</v>
      </c>
      <c r="J63" s="5" t="n">
        <v>0</v>
      </c>
      <c r="K63" s="5" t="n">
        <v>0</v>
      </c>
      <c r="L63" s="5" t="n">
        <v>0</v>
      </c>
      <c r="P63" s="1" t="n">
        <f aca="false">E63</f>
        <v>5306</v>
      </c>
      <c r="Q63" s="1" t="n">
        <f aca="false">D63</f>
        <v>74907.98</v>
      </c>
      <c r="R63" s="1" t="n">
        <f aca="false">G63</f>
        <v>95.6</v>
      </c>
      <c r="S63" s="1" t="n">
        <f aca="false">J63</f>
        <v>0</v>
      </c>
      <c r="T63" s="1" t="n">
        <f aca="false">K63</f>
        <v>0</v>
      </c>
      <c r="U63" s="1" t="n">
        <f aca="false">L63</f>
        <v>0</v>
      </c>
      <c r="W63" s="1" t="n">
        <f aca="false">E63</f>
        <v>5306</v>
      </c>
      <c r="X63" s="1" t="n">
        <f aca="false">D63</f>
        <v>74907.98</v>
      </c>
      <c r="Y63" s="1" t="n">
        <f aca="false">G63</f>
        <v>95.6</v>
      </c>
      <c r="Z63" s="1" t="n">
        <f aca="false">F63</f>
        <v>0.062</v>
      </c>
      <c r="AA63" s="1" t="n">
        <f aca="false">H63</f>
        <v>3.7</v>
      </c>
      <c r="AB63" s="1" t="n">
        <f aca="false">J63</f>
        <v>0</v>
      </c>
      <c r="AC63" s="1" t="n">
        <f aca="false">K63</f>
        <v>0</v>
      </c>
      <c r="AD63" s="1" t="n">
        <f aca="false">L63</f>
        <v>0</v>
      </c>
    </row>
    <row r="64" customFormat="false" ht="15" hidden="false" customHeight="false" outlineLevel="0" collapsed="false">
      <c r="A64" s="5" t="s">
        <v>50</v>
      </c>
      <c r="B64" s="5" t="s">
        <v>37</v>
      </c>
      <c r="C64" s="5" t="s">
        <v>31</v>
      </c>
      <c r="D64" s="5" t="n">
        <v>37284.66</v>
      </c>
      <c r="E64" s="5" t="n">
        <v>3928</v>
      </c>
      <c r="F64" s="5" t="n">
        <v>0.074</v>
      </c>
      <c r="G64" s="5" t="n">
        <v>86.5</v>
      </c>
      <c r="H64" s="5" t="n">
        <v>3.8</v>
      </c>
      <c r="I64" s="5" t="n">
        <v>615966.48</v>
      </c>
      <c r="J64" s="5" t="n">
        <v>0</v>
      </c>
      <c r="K64" s="5" t="n">
        <v>0</v>
      </c>
      <c r="L64" s="5" t="n">
        <v>0</v>
      </c>
      <c r="P64" s="1" t="n">
        <f aca="false">E64</f>
        <v>3928</v>
      </c>
      <c r="Q64" s="1" t="n">
        <f aca="false">D64</f>
        <v>37284.66</v>
      </c>
      <c r="R64" s="1" t="n">
        <f aca="false">G64</f>
        <v>86.5</v>
      </c>
      <c r="S64" s="1" t="n">
        <f aca="false">J64</f>
        <v>0</v>
      </c>
      <c r="T64" s="1" t="n">
        <f aca="false">K64</f>
        <v>0</v>
      </c>
      <c r="U64" s="1" t="n">
        <f aca="false">L64</f>
        <v>0</v>
      </c>
      <c r="W64" s="1" t="n">
        <f aca="false">E64</f>
        <v>3928</v>
      </c>
      <c r="X64" s="1" t="n">
        <f aca="false">D64</f>
        <v>37284.66</v>
      </c>
      <c r="Y64" s="1" t="n">
        <f aca="false">G64</f>
        <v>86.5</v>
      </c>
      <c r="Z64" s="1" t="n">
        <f aca="false">F64</f>
        <v>0.074</v>
      </c>
      <c r="AA64" s="1" t="n">
        <f aca="false">H64</f>
        <v>3.8</v>
      </c>
      <c r="AB64" s="1" t="n">
        <f aca="false">J64</f>
        <v>0</v>
      </c>
      <c r="AC64" s="1" t="n">
        <f aca="false">K64</f>
        <v>0</v>
      </c>
      <c r="AD64" s="1" t="n">
        <f aca="false">L64</f>
        <v>0</v>
      </c>
    </row>
    <row r="65" customFormat="false" ht="15" hidden="false" customHeight="false" outlineLevel="0" collapsed="false">
      <c r="A65" s="5" t="s">
        <v>50</v>
      </c>
      <c r="B65" s="5" t="s">
        <v>37</v>
      </c>
      <c r="C65" s="5" t="s">
        <v>31</v>
      </c>
      <c r="D65" s="5" t="n">
        <v>50343.19</v>
      </c>
      <c r="E65" s="5" t="n">
        <v>3845</v>
      </c>
      <c r="F65" s="5" t="n">
        <v>0.113</v>
      </c>
      <c r="G65" s="5" t="n">
        <v>88.7</v>
      </c>
      <c r="H65" s="5" t="n">
        <v>3.3</v>
      </c>
      <c r="I65" s="5" t="n">
        <v>572011.2</v>
      </c>
      <c r="J65" s="5" t="n">
        <v>0</v>
      </c>
      <c r="K65" s="5" t="n">
        <v>0</v>
      </c>
      <c r="L65" s="5" t="n">
        <v>0</v>
      </c>
      <c r="P65" s="1" t="n">
        <f aca="false">E65</f>
        <v>3845</v>
      </c>
      <c r="Q65" s="1" t="n">
        <f aca="false">D65</f>
        <v>50343.19</v>
      </c>
      <c r="R65" s="1" t="n">
        <f aca="false">G65</f>
        <v>88.7</v>
      </c>
      <c r="S65" s="1" t="n">
        <f aca="false">J65</f>
        <v>0</v>
      </c>
      <c r="T65" s="1" t="n">
        <f aca="false">K65</f>
        <v>0</v>
      </c>
      <c r="U65" s="1" t="n">
        <f aca="false">L65</f>
        <v>0</v>
      </c>
      <c r="W65" s="1" t="n">
        <f aca="false">E65</f>
        <v>3845</v>
      </c>
      <c r="X65" s="1" t="n">
        <f aca="false">D65</f>
        <v>50343.19</v>
      </c>
      <c r="Y65" s="1" t="n">
        <f aca="false">G65</f>
        <v>88.7</v>
      </c>
      <c r="Z65" s="1" t="n">
        <f aca="false">F65</f>
        <v>0.113</v>
      </c>
      <c r="AA65" s="1" t="n">
        <f aca="false">H65</f>
        <v>3.3</v>
      </c>
      <c r="AB65" s="1" t="n">
        <f aca="false">J65</f>
        <v>0</v>
      </c>
      <c r="AC65" s="1" t="n">
        <f aca="false">K65</f>
        <v>0</v>
      </c>
      <c r="AD65" s="1" t="n">
        <f aca="false">L65</f>
        <v>0</v>
      </c>
    </row>
    <row r="66" customFormat="false" ht="15" hidden="false" customHeight="false" outlineLevel="0" collapsed="false">
      <c r="A66" s="5" t="s">
        <v>50</v>
      </c>
      <c r="B66" s="5" t="s">
        <v>37</v>
      </c>
      <c r="C66" s="5" t="s">
        <v>31</v>
      </c>
      <c r="D66" s="5" t="n">
        <v>74954.47</v>
      </c>
      <c r="E66" s="5" t="n">
        <v>6620</v>
      </c>
      <c r="F66" s="5" t="n">
        <v>0.054</v>
      </c>
      <c r="G66" s="5" t="n">
        <v>91.1</v>
      </c>
      <c r="H66" s="5" t="n">
        <v>3.5</v>
      </c>
      <c r="I66" s="5" t="n">
        <v>761860.19</v>
      </c>
      <c r="J66" s="5" t="n">
        <v>0</v>
      </c>
      <c r="K66" s="5" t="n">
        <v>0</v>
      </c>
      <c r="L66" s="5" t="n">
        <v>0</v>
      </c>
      <c r="P66" s="1" t="n">
        <f aca="false">E66</f>
        <v>6620</v>
      </c>
      <c r="Q66" s="1" t="n">
        <f aca="false">D66</f>
        <v>74954.47</v>
      </c>
      <c r="R66" s="1" t="n">
        <f aca="false">G66</f>
        <v>91.1</v>
      </c>
      <c r="S66" s="1" t="n">
        <f aca="false">J66</f>
        <v>0</v>
      </c>
      <c r="T66" s="1" t="n">
        <f aca="false">K66</f>
        <v>0</v>
      </c>
      <c r="U66" s="1" t="n">
        <f aca="false">L66</f>
        <v>0</v>
      </c>
      <c r="W66" s="1" t="n">
        <f aca="false">E66</f>
        <v>6620</v>
      </c>
      <c r="X66" s="1" t="n">
        <f aca="false">D66</f>
        <v>74954.47</v>
      </c>
      <c r="Y66" s="1" t="n">
        <f aca="false">G66</f>
        <v>91.1</v>
      </c>
      <c r="Z66" s="1" t="n">
        <f aca="false">F66</f>
        <v>0.054</v>
      </c>
      <c r="AA66" s="1" t="n">
        <f aca="false">H66</f>
        <v>3.5</v>
      </c>
      <c r="AB66" s="1" t="n">
        <f aca="false">J66</f>
        <v>0</v>
      </c>
      <c r="AC66" s="1" t="n">
        <f aca="false">K66</f>
        <v>0</v>
      </c>
      <c r="AD66" s="1" t="n">
        <f aca="false">L66</f>
        <v>0</v>
      </c>
    </row>
    <row r="67" customFormat="false" ht="15" hidden="false" customHeight="false" outlineLevel="0" collapsed="false">
      <c r="A67" s="5" t="s">
        <v>51</v>
      </c>
      <c r="B67" s="5" t="s">
        <v>40</v>
      </c>
      <c r="C67" s="5" t="s">
        <v>31</v>
      </c>
      <c r="D67" s="5" t="n">
        <v>70040.31</v>
      </c>
      <c r="E67" s="5" t="n">
        <v>9175</v>
      </c>
      <c r="F67" s="5" t="n">
        <v>0.107</v>
      </c>
      <c r="G67" s="5" t="n">
        <v>95.1</v>
      </c>
      <c r="H67" s="5" t="n">
        <v>3.4</v>
      </c>
      <c r="I67" s="5" t="n">
        <v>784502.68</v>
      </c>
      <c r="J67" s="5" t="n">
        <v>0</v>
      </c>
      <c r="K67" s="5" t="n">
        <v>0</v>
      </c>
      <c r="L67" s="5" t="n">
        <v>0</v>
      </c>
      <c r="P67" s="1" t="n">
        <f aca="false">E67</f>
        <v>9175</v>
      </c>
      <c r="Q67" s="1" t="n">
        <f aca="false">D67</f>
        <v>70040.31</v>
      </c>
      <c r="R67" s="1" t="n">
        <f aca="false">G67</f>
        <v>95.1</v>
      </c>
      <c r="S67" s="1" t="n">
        <f aca="false">J67</f>
        <v>0</v>
      </c>
      <c r="T67" s="1" t="n">
        <f aca="false">K67</f>
        <v>0</v>
      </c>
      <c r="U67" s="1" t="n">
        <f aca="false">L67</f>
        <v>0</v>
      </c>
      <c r="W67" s="1" t="n">
        <f aca="false">E67</f>
        <v>9175</v>
      </c>
      <c r="X67" s="1" t="n">
        <f aca="false">D67</f>
        <v>70040.31</v>
      </c>
      <c r="Y67" s="1" t="n">
        <f aca="false">G67</f>
        <v>95.1</v>
      </c>
      <c r="Z67" s="1" t="n">
        <f aca="false">F67</f>
        <v>0.107</v>
      </c>
      <c r="AA67" s="1" t="n">
        <f aca="false">H67</f>
        <v>3.4</v>
      </c>
      <c r="AB67" s="1" t="n">
        <f aca="false">J67</f>
        <v>0</v>
      </c>
      <c r="AC67" s="1" t="n">
        <f aca="false">K67</f>
        <v>0</v>
      </c>
      <c r="AD67" s="1" t="n">
        <f aca="false">L67</f>
        <v>0</v>
      </c>
    </row>
    <row r="68" customFormat="false" ht="15" hidden="false" customHeight="false" outlineLevel="0" collapsed="false">
      <c r="A68" s="5" t="s">
        <v>51</v>
      </c>
      <c r="B68" s="5" t="s">
        <v>40</v>
      </c>
      <c r="C68" s="5" t="s">
        <v>31</v>
      </c>
      <c r="D68" s="5" t="n">
        <v>51148.69</v>
      </c>
      <c r="E68" s="5" t="n">
        <v>7940</v>
      </c>
      <c r="F68" s="5" t="n">
        <v>0.156</v>
      </c>
      <c r="G68" s="5" t="n">
        <v>93.3</v>
      </c>
      <c r="H68" s="5" t="n">
        <v>3.6</v>
      </c>
      <c r="I68" s="5" t="n">
        <v>717141.55</v>
      </c>
      <c r="J68" s="5" t="n">
        <v>0</v>
      </c>
      <c r="K68" s="5" t="n">
        <v>0</v>
      </c>
      <c r="L68" s="5" t="n">
        <v>0</v>
      </c>
      <c r="P68" s="1" t="n">
        <f aca="false">E68</f>
        <v>7940</v>
      </c>
      <c r="Q68" s="1" t="n">
        <f aca="false">D68</f>
        <v>51148.69</v>
      </c>
      <c r="R68" s="1" t="n">
        <f aca="false">G68</f>
        <v>93.3</v>
      </c>
      <c r="S68" s="1" t="n">
        <f aca="false">J68</f>
        <v>0</v>
      </c>
      <c r="T68" s="1" t="n">
        <f aca="false">K68</f>
        <v>0</v>
      </c>
      <c r="U68" s="1" t="n">
        <f aca="false">L68</f>
        <v>0</v>
      </c>
      <c r="W68" s="1" t="n">
        <f aca="false">E68</f>
        <v>7940</v>
      </c>
      <c r="X68" s="1" t="n">
        <f aca="false">D68</f>
        <v>51148.69</v>
      </c>
      <c r="Y68" s="1" t="n">
        <f aca="false">G68</f>
        <v>93.3</v>
      </c>
      <c r="Z68" s="1" t="n">
        <f aca="false">F68</f>
        <v>0.156</v>
      </c>
      <c r="AA68" s="1" t="n">
        <f aca="false">H68</f>
        <v>3.6</v>
      </c>
      <c r="AB68" s="1" t="n">
        <f aca="false">J68</f>
        <v>0</v>
      </c>
      <c r="AC68" s="1" t="n">
        <f aca="false">K68</f>
        <v>0</v>
      </c>
      <c r="AD68" s="1" t="n">
        <f aca="false">L68</f>
        <v>0</v>
      </c>
    </row>
    <row r="69" customFormat="false" ht="15" hidden="false" customHeight="false" outlineLevel="0" collapsed="false">
      <c r="A69" s="5" t="s">
        <v>51</v>
      </c>
      <c r="B69" s="5" t="s">
        <v>40</v>
      </c>
      <c r="C69" s="5" t="s">
        <v>31</v>
      </c>
      <c r="D69" s="5" t="n">
        <v>79346.1</v>
      </c>
      <c r="E69" s="5" t="n">
        <v>9628</v>
      </c>
      <c r="F69" s="5" t="n">
        <v>0.102</v>
      </c>
      <c r="G69" s="5" t="n">
        <v>99</v>
      </c>
      <c r="H69" s="5" t="n">
        <v>3.2</v>
      </c>
      <c r="I69" s="5" t="n">
        <v>685379.08</v>
      </c>
      <c r="J69" s="5" t="n">
        <v>0</v>
      </c>
      <c r="K69" s="5" t="n">
        <v>0</v>
      </c>
      <c r="L69" s="5" t="n">
        <v>0</v>
      </c>
      <c r="P69" s="1" t="n">
        <f aca="false">E69</f>
        <v>9628</v>
      </c>
      <c r="Q69" s="1" t="n">
        <f aca="false">D69</f>
        <v>79346.1</v>
      </c>
      <c r="R69" s="1" t="n">
        <f aca="false">G69</f>
        <v>99</v>
      </c>
      <c r="S69" s="1" t="n">
        <f aca="false">J69</f>
        <v>0</v>
      </c>
      <c r="T69" s="1" t="n">
        <f aca="false">K69</f>
        <v>0</v>
      </c>
      <c r="U69" s="1" t="n">
        <f aca="false">L69</f>
        <v>0</v>
      </c>
      <c r="W69" s="1" t="n">
        <f aca="false">E69</f>
        <v>9628</v>
      </c>
      <c r="X69" s="1" t="n">
        <f aca="false">D69</f>
        <v>79346.1</v>
      </c>
      <c r="Y69" s="1" t="n">
        <f aca="false">G69</f>
        <v>99</v>
      </c>
      <c r="Z69" s="1" t="n">
        <f aca="false">F69</f>
        <v>0.102</v>
      </c>
      <c r="AA69" s="1" t="n">
        <f aca="false">H69</f>
        <v>3.2</v>
      </c>
      <c r="AB69" s="1" t="n">
        <f aca="false">J69</f>
        <v>0</v>
      </c>
      <c r="AC69" s="1" t="n">
        <f aca="false">K69</f>
        <v>0</v>
      </c>
      <c r="AD69" s="1" t="n">
        <f aca="false">L69</f>
        <v>0</v>
      </c>
    </row>
    <row r="70" customFormat="false" ht="15" hidden="false" customHeight="false" outlineLevel="0" collapsed="false">
      <c r="A70" s="5" t="s">
        <v>51</v>
      </c>
      <c r="B70" s="5" t="s">
        <v>40</v>
      </c>
      <c r="C70" s="5" t="s">
        <v>31</v>
      </c>
      <c r="D70" s="5" t="n">
        <v>42018.4</v>
      </c>
      <c r="E70" s="5" t="n">
        <v>8296</v>
      </c>
      <c r="F70" s="5" t="n">
        <v>0.115</v>
      </c>
      <c r="G70" s="5" t="n">
        <v>91.8</v>
      </c>
      <c r="H70" s="5" t="n">
        <v>3.4</v>
      </c>
      <c r="I70" s="5" t="n">
        <v>740496.65</v>
      </c>
      <c r="J70" s="5" t="n">
        <v>0</v>
      </c>
      <c r="K70" s="5" t="n">
        <v>0</v>
      </c>
      <c r="L70" s="5" t="n">
        <v>0</v>
      </c>
      <c r="P70" s="1" t="n">
        <f aca="false">E70</f>
        <v>8296</v>
      </c>
      <c r="Q70" s="1" t="n">
        <f aca="false">D70</f>
        <v>42018.4</v>
      </c>
      <c r="R70" s="1" t="n">
        <f aca="false">G70</f>
        <v>91.8</v>
      </c>
      <c r="S70" s="1" t="n">
        <f aca="false">J70</f>
        <v>0</v>
      </c>
      <c r="T70" s="1" t="n">
        <f aca="false">K70</f>
        <v>0</v>
      </c>
      <c r="U70" s="1" t="n">
        <f aca="false">L70</f>
        <v>0</v>
      </c>
      <c r="W70" s="1" t="n">
        <f aca="false">E70</f>
        <v>8296</v>
      </c>
      <c r="X70" s="1" t="n">
        <f aca="false">D70</f>
        <v>42018.4</v>
      </c>
      <c r="Y70" s="1" t="n">
        <f aca="false">G70</f>
        <v>91.8</v>
      </c>
      <c r="Z70" s="1" t="n">
        <f aca="false">F70</f>
        <v>0.115</v>
      </c>
      <c r="AA70" s="1" t="n">
        <f aca="false">H70</f>
        <v>3.4</v>
      </c>
      <c r="AB70" s="1" t="n">
        <f aca="false">J70</f>
        <v>0</v>
      </c>
      <c r="AC70" s="1" t="n">
        <f aca="false">K70</f>
        <v>0</v>
      </c>
      <c r="AD70" s="1" t="n">
        <f aca="false">L70</f>
        <v>0</v>
      </c>
    </row>
    <row r="71" customFormat="false" ht="15" hidden="false" customHeight="false" outlineLevel="0" collapsed="false">
      <c r="A71" s="5" t="s">
        <v>52</v>
      </c>
      <c r="B71" s="5" t="s">
        <v>28</v>
      </c>
      <c r="C71" s="5" t="s">
        <v>31</v>
      </c>
      <c r="D71" s="5" t="n">
        <v>70937.24</v>
      </c>
      <c r="E71" s="5" t="n">
        <v>3595</v>
      </c>
      <c r="F71" s="5" t="n">
        <v>0.141</v>
      </c>
      <c r="G71" s="5" t="n">
        <v>88.9</v>
      </c>
      <c r="H71" s="5" t="n">
        <v>3.3</v>
      </c>
      <c r="I71" s="5" t="n">
        <v>661927.14</v>
      </c>
      <c r="J71" s="5" t="n">
        <v>0</v>
      </c>
      <c r="K71" s="5" t="n">
        <v>0</v>
      </c>
      <c r="L71" s="5" t="n">
        <v>0</v>
      </c>
      <c r="P71" s="1" t="n">
        <f aca="false">E71</f>
        <v>3595</v>
      </c>
      <c r="Q71" s="1" t="n">
        <f aca="false">D71</f>
        <v>70937.24</v>
      </c>
      <c r="R71" s="1" t="n">
        <f aca="false">G71</f>
        <v>88.9</v>
      </c>
      <c r="S71" s="1" t="n">
        <f aca="false">J71</f>
        <v>0</v>
      </c>
      <c r="T71" s="1" t="n">
        <f aca="false">K71</f>
        <v>0</v>
      </c>
      <c r="U71" s="1" t="n">
        <f aca="false">L71</f>
        <v>0</v>
      </c>
      <c r="W71" s="1" t="n">
        <f aca="false">E71</f>
        <v>3595</v>
      </c>
      <c r="X71" s="1" t="n">
        <f aca="false">D71</f>
        <v>70937.24</v>
      </c>
      <c r="Y71" s="1" t="n">
        <f aca="false">G71</f>
        <v>88.9</v>
      </c>
      <c r="Z71" s="1" t="n">
        <f aca="false">F71</f>
        <v>0.141</v>
      </c>
      <c r="AA71" s="1" t="n">
        <f aca="false">H71</f>
        <v>3.3</v>
      </c>
      <c r="AB71" s="1" t="n">
        <f aca="false">J71</f>
        <v>0</v>
      </c>
      <c r="AC71" s="1" t="n">
        <f aca="false">K71</f>
        <v>0</v>
      </c>
      <c r="AD71" s="1" t="n">
        <f aca="false">L71</f>
        <v>0</v>
      </c>
    </row>
    <row r="72" customFormat="false" ht="15" hidden="false" customHeight="false" outlineLevel="0" collapsed="false">
      <c r="A72" s="5" t="s">
        <v>52</v>
      </c>
      <c r="B72" s="5" t="s">
        <v>28</v>
      </c>
      <c r="C72" s="5" t="s">
        <v>31</v>
      </c>
      <c r="D72" s="5" t="n">
        <v>36813.45</v>
      </c>
      <c r="E72" s="5" t="n">
        <v>2834</v>
      </c>
      <c r="F72" s="5" t="n">
        <v>0.191</v>
      </c>
      <c r="G72" s="5" t="n">
        <v>81.8</v>
      </c>
      <c r="H72" s="5" t="n">
        <v>3.3</v>
      </c>
      <c r="I72" s="5" t="n">
        <v>479050.5</v>
      </c>
      <c r="J72" s="5" t="n">
        <v>0</v>
      </c>
      <c r="K72" s="5" t="n">
        <v>0</v>
      </c>
      <c r="L72" s="5" t="n">
        <v>0</v>
      </c>
      <c r="P72" s="1" t="n">
        <f aca="false">E72</f>
        <v>2834</v>
      </c>
      <c r="Q72" s="1" t="n">
        <f aca="false">D72</f>
        <v>36813.45</v>
      </c>
      <c r="R72" s="1" t="n">
        <f aca="false">G72</f>
        <v>81.8</v>
      </c>
      <c r="S72" s="1" t="n">
        <f aca="false">J72</f>
        <v>0</v>
      </c>
      <c r="T72" s="1" t="n">
        <f aca="false">K72</f>
        <v>0</v>
      </c>
      <c r="U72" s="1" t="n">
        <f aca="false">L72</f>
        <v>0</v>
      </c>
      <c r="W72" s="1" t="n">
        <f aca="false">E72</f>
        <v>2834</v>
      </c>
      <c r="X72" s="1" t="n">
        <f aca="false">D72</f>
        <v>36813.45</v>
      </c>
      <c r="Y72" s="1" t="n">
        <f aca="false">G72</f>
        <v>81.8</v>
      </c>
      <c r="Z72" s="1" t="n">
        <f aca="false">F72</f>
        <v>0.191</v>
      </c>
      <c r="AA72" s="1" t="n">
        <f aca="false">H72</f>
        <v>3.3</v>
      </c>
      <c r="AB72" s="1" t="n">
        <f aca="false">J72</f>
        <v>0</v>
      </c>
      <c r="AC72" s="1" t="n">
        <f aca="false">K72</f>
        <v>0</v>
      </c>
      <c r="AD72" s="1" t="n">
        <f aca="false">L72</f>
        <v>0</v>
      </c>
    </row>
    <row r="73" customFormat="false" ht="15" hidden="false" customHeight="false" outlineLevel="0" collapsed="false">
      <c r="A73" s="5" t="s">
        <v>52</v>
      </c>
      <c r="B73" s="5" t="s">
        <v>28</v>
      </c>
      <c r="C73" s="5" t="s">
        <v>31</v>
      </c>
      <c r="D73" s="5" t="n">
        <v>60571.82</v>
      </c>
      <c r="E73" s="5" t="n">
        <v>3193</v>
      </c>
      <c r="F73" s="5" t="n">
        <v>0.197</v>
      </c>
      <c r="G73" s="5" t="n">
        <v>99</v>
      </c>
      <c r="H73" s="5" t="n">
        <v>3.2</v>
      </c>
      <c r="I73" s="5" t="n">
        <v>605023.87</v>
      </c>
      <c r="J73" s="5" t="n">
        <v>0</v>
      </c>
      <c r="K73" s="5" t="n">
        <v>0</v>
      </c>
      <c r="L73" s="5" t="n">
        <v>0</v>
      </c>
      <c r="P73" s="1" t="n">
        <f aca="false">E73</f>
        <v>3193</v>
      </c>
      <c r="Q73" s="1" t="n">
        <f aca="false">D73</f>
        <v>60571.82</v>
      </c>
      <c r="R73" s="1" t="n">
        <f aca="false">G73</f>
        <v>99</v>
      </c>
      <c r="S73" s="1" t="n">
        <f aca="false">J73</f>
        <v>0</v>
      </c>
      <c r="T73" s="1" t="n">
        <f aca="false">K73</f>
        <v>0</v>
      </c>
      <c r="U73" s="1" t="n">
        <f aca="false">L73</f>
        <v>0</v>
      </c>
      <c r="W73" s="1" t="n">
        <f aca="false">E73</f>
        <v>3193</v>
      </c>
      <c r="X73" s="1" t="n">
        <f aca="false">D73</f>
        <v>60571.82</v>
      </c>
      <c r="Y73" s="1" t="n">
        <f aca="false">G73</f>
        <v>99</v>
      </c>
      <c r="Z73" s="1" t="n">
        <f aca="false">F73</f>
        <v>0.197</v>
      </c>
      <c r="AA73" s="1" t="n">
        <f aca="false">H73</f>
        <v>3.2</v>
      </c>
      <c r="AB73" s="1" t="n">
        <f aca="false">J73</f>
        <v>0</v>
      </c>
      <c r="AC73" s="1" t="n">
        <f aca="false">K73</f>
        <v>0</v>
      </c>
      <c r="AD73" s="1" t="n">
        <f aca="false">L73</f>
        <v>0</v>
      </c>
    </row>
    <row r="74" customFormat="false" ht="15" hidden="false" customHeight="false" outlineLevel="0" collapsed="false">
      <c r="A74" s="5" t="s">
        <v>52</v>
      </c>
      <c r="B74" s="5" t="s">
        <v>28</v>
      </c>
      <c r="C74" s="5" t="s">
        <v>31</v>
      </c>
      <c r="D74" s="5" t="n">
        <v>55081.16</v>
      </c>
      <c r="E74" s="5" t="n">
        <v>5485</v>
      </c>
      <c r="F74" s="5" t="n">
        <v>0.036</v>
      </c>
      <c r="G74" s="5" t="n">
        <v>88</v>
      </c>
      <c r="H74" s="5" t="n">
        <v>3.5</v>
      </c>
      <c r="I74" s="5" t="n">
        <v>674774.09</v>
      </c>
      <c r="J74" s="5" t="n">
        <v>0</v>
      </c>
      <c r="K74" s="5" t="n">
        <v>0</v>
      </c>
      <c r="L74" s="5" t="n">
        <v>0</v>
      </c>
      <c r="P74" s="1" t="n">
        <f aca="false">E74</f>
        <v>5485</v>
      </c>
      <c r="Q74" s="1" t="n">
        <f aca="false">D74</f>
        <v>55081.16</v>
      </c>
      <c r="R74" s="1" t="n">
        <f aca="false">G74</f>
        <v>88</v>
      </c>
      <c r="S74" s="1" t="n">
        <f aca="false">J74</f>
        <v>0</v>
      </c>
      <c r="T74" s="1" t="n">
        <f aca="false">K74</f>
        <v>0</v>
      </c>
      <c r="U74" s="1" t="n">
        <f aca="false">L74</f>
        <v>0</v>
      </c>
      <c r="W74" s="1" t="n">
        <f aca="false">E74</f>
        <v>5485</v>
      </c>
      <c r="X74" s="1" t="n">
        <f aca="false">D74</f>
        <v>55081.16</v>
      </c>
      <c r="Y74" s="1" t="n">
        <f aca="false">G74</f>
        <v>88</v>
      </c>
      <c r="Z74" s="1" t="n">
        <f aca="false">F74</f>
        <v>0.036</v>
      </c>
      <c r="AA74" s="1" t="n">
        <f aca="false">H74</f>
        <v>3.5</v>
      </c>
      <c r="AB74" s="1" t="n">
        <f aca="false">J74</f>
        <v>0</v>
      </c>
      <c r="AC74" s="1" t="n">
        <f aca="false">K74</f>
        <v>0</v>
      </c>
      <c r="AD74" s="1" t="n">
        <f aca="false">L74</f>
        <v>0</v>
      </c>
    </row>
    <row r="75" customFormat="false" ht="15" hidden="false" customHeight="false" outlineLevel="0" collapsed="false">
      <c r="A75" s="5" t="s">
        <v>53</v>
      </c>
      <c r="B75" s="5" t="s">
        <v>28</v>
      </c>
      <c r="C75" s="5" t="s">
        <v>29</v>
      </c>
      <c r="D75" s="5" t="n">
        <v>46201.46</v>
      </c>
      <c r="E75" s="5" t="n">
        <v>5918</v>
      </c>
      <c r="F75" s="5" t="n">
        <v>0.277</v>
      </c>
      <c r="G75" s="5" t="n">
        <v>78.8</v>
      </c>
      <c r="H75" s="5" t="n">
        <v>4.5</v>
      </c>
      <c r="I75" s="5" t="n">
        <v>616069.41</v>
      </c>
      <c r="J75" s="5" t="n">
        <v>0</v>
      </c>
      <c r="K75" s="5" t="n">
        <v>1</v>
      </c>
      <c r="L75" s="5" t="n">
        <v>0</v>
      </c>
      <c r="P75" s="1" t="n">
        <f aca="false">E75</f>
        <v>5918</v>
      </c>
      <c r="Q75" s="1" t="n">
        <f aca="false">D75</f>
        <v>46201.46</v>
      </c>
      <c r="R75" s="1" t="n">
        <f aca="false">G75</f>
        <v>78.8</v>
      </c>
      <c r="S75" s="1" t="n">
        <f aca="false">J75</f>
        <v>0</v>
      </c>
      <c r="T75" s="1" t="n">
        <f aca="false">K75</f>
        <v>1</v>
      </c>
      <c r="U75" s="1" t="n">
        <f aca="false">L75</f>
        <v>0</v>
      </c>
      <c r="W75" s="1" t="n">
        <f aca="false">E75</f>
        <v>5918</v>
      </c>
      <c r="X75" s="1" t="n">
        <f aca="false">D75</f>
        <v>46201.46</v>
      </c>
      <c r="Y75" s="1" t="n">
        <f aca="false">G75</f>
        <v>78.8</v>
      </c>
      <c r="Z75" s="1" t="n">
        <f aca="false">F75</f>
        <v>0.277</v>
      </c>
      <c r="AA75" s="1" t="n">
        <f aca="false">H75</f>
        <v>4.5</v>
      </c>
      <c r="AB75" s="1" t="n">
        <f aca="false">J75</f>
        <v>0</v>
      </c>
      <c r="AC75" s="1" t="n">
        <f aca="false">K75</f>
        <v>1</v>
      </c>
      <c r="AD75" s="1" t="n">
        <f aca="false">L75</f>
        <v>0</v>
      </c>
    </row>
    <row r="76" customFormat="false" ht="15" hidden="false" customHeight="false" outlineLevel="0" collapsed="false">
      <c r="A76" s="5" t="s">
        <v>53</v>
      </c>
      <c r="B76" s="5" t="s">
        <v>28</v>
      </c>
      <c r="C76" s="5" t="s">
        <v>29</v>
      </c>
      <c r="D76" s="5" t="n">
        <v>53762.92</v>
      </c>
      <c r="E76" s="5" t="n">
        <v>6821</v>
      </c>
      <c r="F76" s="5" t="n">
        <v>0.066</v>
      </c>
      <c r="G76" s="5" t="n">
        <v>94.6</v>
      </c>
      <c r="H76" s="5" t="n">
        <v>4.4</v>
      </c>
      <c r="I76" s="5" t="n">
        <v>630829.94</v>
      </c>
      <c r="J76" s="5" t="n">
        <v>0</v>
      </c>
      <c r="K76" s="5" t="n">
        <v>1</v>
      </c>
      <c r="L76" s="5" t="n">
        <v>0</v>
      </c>
      <c r="P76" s="1" t="n">
        <f aca="false">E76</f>
        <v>6821</v>
      </c>
      <c r="Q76" s="1" t="n">
        <f aca="false">D76</f>
        <v>53762.92</v>
      </c>
      <c r="R76" s="1" t="n">
        <f aca="false">G76</f>
        <v>94.6</v>
      </c>
      <c r="S76" s="1" t="n">
        <f aca="false">J76</f>
        <v>0</v>
      </c>
      <c r="T76" s="1" t="n">
        <f aca="false">K76</f>
        <v>1</v>
      </c>
      <c r="U76" s="1" t="n">
        <f aca="false">L76</f>
        <v>0</v>
      </c>
      <c r="W76" s="1" t="n">
        <f aca="false">E76</f>
        <v>6821</v>
      </c>
      <c r="X76" s="1" t="n">
        <f aca="false">D76</f>
        <v>53762.92</v>
      </c>
      <c r="Y76" s="1" t="n">
        <f aca="false">G76</f>
        <v>94.6</v>
      </c>
      <c r="Z76" s="1" t="n">
        <f aca="false">F76</f>
        <v>0.066</v>
      </c>
      <c r="AA76" s="1" t="n">
        <f aca="false">H76</f>
        <v>4.4</v>
      </c>
      <c r="AB76" s="1" t="n">
        <f aca="false">J76</f>
        <v>0</v>
      </c>
      <c r="AC76" s="1" t="n">
        <f aca="false">K76</f>
        <v>1</v>
      </c>
      <c r="AD76" s="1" t="n">
        <f aca="false">L76</f>
        <v>0</v>
      </c>
    </row>
    <row r="77" customFormat="false" ht="15" hidden="false" customHeight="false" outlineLevel="0" collapsed="false">
      <c r="A77" s="5" t="s">
        <v>53</v>
      </c>
      <c r="B77" s="5" t="s">
        <v>28</v>
      </c>
      <c r="C77" s="5" t="s">
        <v>29</v>
      </c>
      <c r="D77" s="5" t="n">
        <v>70144.78</v>
      </c>
      <c r="E77" s="5" t="n">
        <v>6806</v>
      </c>
      <c r="F77" s="5" t="n">
        <v>0.178</v>
      </c>
      <c r="G77" s="5" t="n">
        <v>93.1</v>
      </c>
      <c r="H77" s="5" t="n">
        <v>4.3</v>
      </c>
      <c r="I77" s="5" t="n">
        <v>788087.68</v>
      </c>
      <c r="J77" s="5" t="n">
        <v>0</v>
      </c>
      <c r="K77" s="5" t="n">
        <v>1</v>
      </c>
      <c r="L77" s="5" t="n">
        <v>0</v>
      </c>
      <c r="P77" s="1" t="n">
        <f aca="false">E77</f>
        <v>6806</v>
      </c>
      <c r="Q77" s="1" t="n">
        <f aca="false">D77</f>
        <v>70144.78</v>
      </c>
      <c r="R77" s="1" t="n">
        <f aca="false">G77</f>
        <v>93.1</v>
      </c>
      <c r="S77" s="1" t="n">
        <f aca="false">J77</f>
        <v>0</v>
      </c>
      <c r="T77" s="1" t="n">
        <f aca="false">K77</f>
        <v>1</v>
      </c>
      <c r="U77" s="1" t="n">
        <f aca="false">L77</f>
        <v>0</v>
      </c>
      <c r="W77" s="1" t="n">
        <f aca="false">E77</f>
        <v>6806</v>
      </c>
      <c r="X77" s="1" t="n">
        <f aca="false">D77</f>
        <v>70144.78</v>
      </c>
      <c r="Y77" s="1" t="n">
        <f aca="false">G77</f>
        <v>93.1</v>
      </c>
      <c r="Z77" s="1" t="n">
        <f aca="false">F77</f>
        <v>0.178</v>
      </c>
      <c r="AA77" s="1" t="n">
        <f aca="false">H77</f>
        <v>4.3</v>
      </c>
      <c r="AB77" s="1" t="n">
        <f aca="false">J77</f>
        <v>0</v>
      </c>
      <c r="AC77" s="1" t="n">
        <f aca="false">K77</f>
        <v>1</v>
      </c>
      <c r="AD77" s="1" t="n">
        <f aca="false">L77</f>
        <v>0</v>
      </c>
    </row>
    <row r="78" customFormat="false" ht="15" hidden="false" customHeight="false" outlineLevel="0" collapsed="false">
      <c r="A78" s="5" t="s">
        <v>53</v>
      </c>
      <c r="B78" s="5" t="s">
        <v>28</v>
      </c>
      <c r="C78" s="5" t="s">
        <v>29</v>
      </c>
      <c r="D78" s="5" t="n">
        <v>58749.63</v>
      </c>
      <c r="E78" s="5" t="n">
        <v>8252</v>
      </c>
      <c r="F78" s="5" t="n">
        <v>0.203</v>
      </c>
      <c r="G78" s="5" t="n">
        <v>85.2</v>
      </c>
      <c r="H78" s="5" t="n">
        <v>4.5</v>
      </c>
      <c r="I78" s="5" t="n">
        <v>680840.36</v>
      </c>
      <c r="J78" s="5" t="n">
        <v>0</v>
      </c>
      <c r="K78" s="5" t="n">
        <v>1</v>
      </c>
      <c r="L78" s="5" t="n">
        <v>0</v>
      </c>
      <c r="P78" s="1" t="n">
        <f aca="false">E78</f>
        <v>8252</v>
      </c>
      <c r="Q78" s="1" t="n">
        <f aca="false">D78</f>
        <v>58749.63</v>
      </c>
      <c r="R78" s="1" t="n">
        <f aca="false">G78</f>
        <v>85.2</v>
      </c>
      <c r="S78" s="1" t="n">
        <f aca="false">J78</f>
        <v>0</v>
      </c>
      <c r="T78" s="1" t="n">
        <f aca="false">K78</f>
        <v>1</v>
      </c>
      <c r="U78" s="1" t="n">
        <f aca="false">L78</f>
        <v>0</v>
      </c>
      <c r="W78" s="1" t="n">
        <f aca="false">E78</f>
        <v>8252</v>
      </c>
      <c r="X78" s="1" t="n">
        <f aca="false">D78</f>
        <v>58749.63</v>
      </c>
      <c r="Y78" s="1" t="n">
        <f aca="false">G78</f>
        <v>85.2</v>
      </c>
      <c r="Z78" s="1" t="n">
        <f aca="false">F78</f>
        <v>0.203</v>
      </c>
      <c r="AA78" s="1" t="n">
        <f aca="false">H78</f>
        <v>4.5</v>
      </c>
      <c r="AB78" s="1" t="n">
        <f aca="false">J78</f>
        <v>0</v>
      </c>
      <c r="AC78" s="1" t="n">
        <f aca="false">K78</f>
        <v>1</v>
      </c>
      <c r="AD78" s="1" t="n">
        <f aca="false">L78</f>
        <v>0</v>
      </c>
    </row>
    <row r="79" customFormat="false" ht="15" hidden="false" customHeight="false" outlineLevel="0" collapsed="false">
      <c r="A79" s="5" t="s">
        <v>54</v>
      </c>
      <c r="B79" s="5" t="s">
        <v>37</v>
      </c>
      <c r="C79" s="5" t="s">
        <v>31</v>
      </c>
      <c r="D79" s="5" t="n">
        <v>56973.18</v>
      </c>
      <c r="E79" s="5" t="n">
        <v>6662</v>
      </c>
      <c r="F79" s="5" t="n">
        <v>0.1</v>
      </c>
      <c r="G79" s="5" t="n">
        <v>77.7</v>
      </c>
      <c r="H79" s="5" t="n">
        <v>3.2</v>
      </c>
      <c r="I79" s="5" t="n">
        <v>643657.47</v>
      </c>
      <c r="J79" s="5" t="n">
        <v>0</v>
      </c>
      <c r="K79" s="5" t="n">
        <v>0</v>
      </c>
      <c r="L79" s="5" t="n">
        <v>0</v>
      </c>
      <c r="P79" s="1" t="n">
        <f aca="false">E79</f>
        <v>6662</v>
      </c>
      <c r="Q79" s="1" t="n">
        <f aca="false">D79</f>
        <v>56973.18</v>
      </c>
      <c r="R79" s="1" t="n">
        <f aca="false">G79</f>
        <v>77.7</v>
      </c>
      <c r="S79" s="1" t="n">
        <f aca="false">J79</f>
        <v>0</v>
      </c>
      <c r="T79" s="1" t="n">
        <f aca="false">K79</f>
        <v>0</v>
      </c>
      <c r="U79" s="1" t="n">
        <f aca="false">L79</f>
        <v>0</v>
      </c>
      <c r="W79" s="1" t="n">
        <f aca="false">E79</f>
        <v>6662</v>
      </c>
      <c r="X79" s="1" t="n">
        <f aca="false">D79</f>
        <v>56973.18</v>
      </c>
      <c r="Y79" s="1" t="n">
        <f aca="false">G79</f>
        <v>77.7</v>
      </c>
      <c r="Z79" s="1" t="n">
        <f aca="false">F79</f>
        <v>0.1</v>
      </c>
      <c r="AA79" s="1" t="n">
        <f aca="false">H79</f>
        <v>3.2</v>
      </c>
      <c r="AB79" s="1" t="n">
        <f aca="false">J79</f>
        <v>0</v>
      </c>
      <c r="AC79" s="1" t="n">
        <f aca="false">K79</f>
        <v>0</v>
      </c>
      <c r="AD79" s="1" t="n">
        <f aca="false">L79</f>
        <v>0</v>
      </c>
    </row>
    <row r="80" customFormat="false" ht="15" hidden="false" customHeight="false" outlineLevel="0" collapsed="false">
      <c r="A80" s="5" t="s">
        <v>54</v>
      </c>
      <c r="B80" s="5" t="s">
        <v>37</v>
      </c>
      <c r="C80" s="5" t="s">
        <v>31</v>
      </c>
      <c r="D80" s="5" t="n">
        <v>54872.82</v>
      </c>
      <c r="E80" s="5" t="n">
        <v>5962</v>
      </c>
      <c r="F80" s="5" t="n">
        <v>0.064</v>
      </c>
      <c r="G80" s="5" t="n">
        <v>85.4</v>
      </c>
      <c r="H80" s="5" t="n">
        <v>2.9</v>
      </c>
      <c r="I80" s="5" t="n">
        <v>691112.6</v>
      </c>
      <c r="J80" s="5" t="n">
        <v>0</v>
      </c>
      <c r="K80" s="5" t="n">
        <v>0</v>
      </c>
      <c r="L80" s="5" t="n">
        <v>0</v>
      </c>
      <c r="P80" s="1" t="n">
        <f aca="false">E80</f>
        <v>5962</v>
      </c>
      <c r="Q80" s="1" t="n">
        <f aca="false">D80</f>
        <v>54872.82</v>
      </c>
      <c r="R80" s="1" t="n">
        <f aca="false">G80</f>
        <v>85.4</v>
      </c>
      <c r="S80" s="1" t="n">
        <f aca="false">J80</f>
        <v>0</v>
      </c>
      <c r="T80" s="1" t="n">
        <f aca="false">K80</f>
        <v>0</v>
      </c>
      <c r="U80" s="1" t="n">
        <f aca="false">L80</f>
        <v>0</v>
      </c>
      <c r="W80" s="1" t="n">
        <f aca="false">E80</f>
        <v>5962</v>
      </c>
      <c r="X80" s="1" t="n">
        <f aca="false">D80</f>
        <v>54872.82</v>
      </c>
      <c r="Y80" s="1" t="n">
        <f aca="false">G80</f>
        <v>85.4</v>
      </c>
      <c r="Z80" s="1" t="n">
        <f aca="false">F80</f>
        <v>0.064</v>
      </c>
      <c r="AA80" s="1" t="n">
        <f aca="false">H80</f>
        <v>2.9</v>
      </c>
      <c r="AB80" s="1" t="n">
        <f aca="false">J80</f>
        <v>0</v>
      </c>
      <c r="AC80" s="1" t="n">
        <f aca="false">K80</f>
        <v>0</v>
      </c>
      <c r="AD80" s="1" t="n">
        <f aca="false">L80</f>
        <v>0</v>
      </c>
    </row>
    <row r="81" customFormat="false" ht="15" hidden="false" customHeight="false" outlineLevel="0" collapsed="false">
      <c r="A81" s="5" t="s">
        <v>54</v>
      </c>
      <c r="B81" s="5" t="s">
        <v>37</v>
      </c>
      <c r="C81" s="5" t="s">
        <v>31</v>
      </c>
      <c r="D81" s="5" t="n">
        <v>80562.81</v>
      </c>
      <c r="E81" s="5" t="n">
        <v>7470</v>
      </c>
      <c r="F81" s="5" t="n">
        <v>0.172</v>
      </c>
      <c r="G81" s="5" t="n">
        <v>83.5</v>
      </c>
      <c r="H81" s="5" t="n">
        <v>3.3</v>
      </c>
      <c r="I81" s="5" t="n">
        <v>776922.17</v>
      </c>
      <c r="J81" s="5" t="n">
        <v>0</v>
      </c>
      <c r="K81" s="5" t="n">
        <v>0</v>
      </c>
      <c r="L81" s="5" t="n">
        <v>0</v>
      </c>
      <c r="P81" s="1" t="n">
        <f aca="false">E81</f>
        <v>7470</v>
      </c>
      <c r="Q81" s="1" t="n">
        <f aca="false">D81</f>
        <v>80562.81</v>
      </c>
      <c r="R81" s="1" t="n">
        <f aca="false">G81</f>
        <v>83.5</v>
      </c>
      <c r="S81" s="1" t="n">
        <f aca="false">J81</f>
        <v>0</v>
      </c>
      <c r="T81" s="1" t="n">
        <f aca="false">K81</f>
        <v>0</v>
      </c>
      <c r="U81" s="1" t="n">
        <f aca="false">L81</f>
        <v>0</v>
      </c>
      <c r="W81" s="1" t="n">
        <f aca="false">E81</f>
        <v>7470</v>
      </c>
      <c r="X81" s="1" t="n">
        <f aca="false">D81</f>
        <v>80562.81</v>
      </c>
      <c r="Y81" s="1" t="n">
        <f aca="false">G81</f>
        <v>83.5</v>
      </c>
      <c r="Z81" s="1" t="n">
        <f aca="false">F81</f>
        <v>0.172</v>
      </c>
      <c r="AA81" s="1" t="n">
        <f aca="false">H81</f>
        <v>3.3</v>
      </c>
      <c r="AB81" s="1" t="n">
        <f aca="false">J81</f>
        <v>0</v>
      </c>
      <c r="AC81" s="1" t="n">
        <f aca="false">K81</f>
        <v>0</v>
      </c>
      <c r="AD81" s="1" t="n">
        <f aca="false">L81</f>
        <v>0</v>
      </c>
    </row>
    <row r="82" customFormat="false" ht="15" hidden="false" customHeight="false" outlineLevel="0" collapsed="false">
      <c r="A82" s="5" t="s">
        <v>54</v>
      </c>
      <c r="B82" s="5" t="s">
        <v>37</v>
      </c>
      <c r="C82" s="5" t="s">
        <v>31</v>
      </c>
      <c r="D82" s="5" t="n">
        <v>77999.9</v>
      </c>
      <c r="E82" s="5" t="n">
        <v>5974</v>
      </c>
      <c r="F82" s="5" t="n">
        <v>0.252</v>
      </c>
      <c r="G82" s="5" t="n">
        <v>81.3</v>
      </c>
      <c r="H82" s="5" t="n">
        <v>3.2</v>
      </c>
      <c r="I82" s="5" t="n">
        <v>636561.34</v>
      </c>
      <c r="J82" s="5" t="n">
        <v>0</v>
      </c>
      <c r="K82" s="5" t="n">
        <v>0</v>
      </c>
      <c r="L82" s="5" t="n">
        <v>0</v>
      </c>
      <c r="P82" s="1" t="n">
        <f aca="false">E82</f>
        <v>5974</v>
      </c>
      <c r="Q82" s="1" t="n">
        <f aca="false">D82</f>
        <v>77999.9</v>
      </c>
      <c r="R82" s="1" t="n">
        <f aca="false">G82</f>
        <v>81.3</v>
      </c>
      <c r="S82" s="1" t="n">
        <f aca="false">J82</f>
        <v>0</v>
      </c>
      <c r="T82" s="1" t="n">
        <f aca="false">K82</f>
        <v>0</v>
      </c>
      <c r="U82" s="1" t="n">
        <f aca="false">L82</f>
        <v>0</v>
      </c>
      <c r="W82" s="1" t="n">
        <f aca="false">E82</f>
        <v>5974</v>
      </c>
      <c r="X82" s="1" t="n">
        <f aca="false">D82</f>
        <v>77999.9</v>
      </c>
      <c r="Y82" s="1" t="n">
        <f aca="false">G82</f>
        <v>81.3</v>
      </c>
      <c r="Z82" s="1" t="n">
        <f aca="false">F82</f>
        <v>0.252</v>
      </c>
      <c r="AA82" s="1" t="n">
        <f aca="false">H82</f>
        <v>3.2</v>
      </c>
      <c r="AB82" s="1" t="n">
        <f aca="false">J82</f>
        <v>0</v>
      </c>
      <c r="AC82" s="1" t="n">
        <f aca="false">K82</f>
        <v>0</v>
      </c>
      <c r="AD82" s="1" t="n">
        <f aca="false">L82</f>
        <v>0</v>
      </c>
    </row>
    <row r="83" customFormat="false" ht="15" hidden="false" customHeight="false" outlineLevel="0" collapsed="false">
      <c r="A83" s="5" t="s">
        <v>55</v>
      </c>
      <c r="B83" s="5" t="s">
        <v>40</v>
      </c>
      <c r="C83" s="5" t="s">
        <v>41</v>
      </c>
      <c r="D83" s="5" t="n">
        <v>60881.01</v>
      </c>
      <c r="E83" s="5" t="n">
        <v>5410</v>
      </c>
      <c r="F83" s="5" t="n">
        <v>0.179</v>
      </c>
      <c r="G83" s="5" t="n">
        <v>83.9</v>
      </c>
      <c r="H83" s="5" t="n">
        <v>4.6</v>
      </c>
      <c r="I83" s="5" t="n">
        <v>621369.58</v>
      </c>
      <c r="J83" s="5" t="n">
        <v>1</v>
      </c>
      <c r="K83" s="5" t="n">
        <v>0</v>
      </c>
      <c r="L83" s="5" t="n">
        <v>0</v>
      </c>
      <c r="P83" s="1" t="n">
        <f aca="false">E83</f>
        <v>5410</v>
      </c>
      <c r="Q83" s="1" t="n">
        <f aca="false">D83</f>
        <v>60881.01</v>
      </c>
      <c r="R83" s="1" t="n">
        <f aca="false">G83</f>
        <v>83.9</v>
      </c>
      <c r="S83" s="1" t="n">
        <f aca="false">J83</f>
        <v>1</v>
      </c>
      <c r="T83" s="1" t="n">
        <f aca="false">K83</f>
        <v>0</v>
      </c>
      <c r="U83" s="1" t="n">
        <f aca="false">L83</f>
        <v>0</v>
      </c>
      <c r="W83" s="1" t="n">
        <f aca="false">E83</f>
        <v>5410</v>
      </c>
      <c r="X83" s="1" t="n">
        <f aca="false">D83</f>
        <v>60881.01</v>
      </c>
      <c r="Y83" s="1" t="n">
        <f aca="false">G83</f>
        <v>83.9</v>
      </c>
      <c r="Z83" s="1" t="n">
        <f aca="false">F83</f>
        <v>0.179</v>
      </c>
      <c r="AA83" s="1" t="n">
        <f aca="false">H83</f>
        <v>4.6</v>
      </c>
      <c r="AB83" s="1" t="n">
        <f aca="false">J83</f>
        <v>1</v>
      </c>
      <c r="AC83" s="1" t="n">
        <f aca="false">K83</f>
        <v>0</v>
      </c>
      <c r="AD83" s="1" t="n">
        <f aca="false">L83</f>
        <v>0</v>
      </c>
    </row>
    <row r="84" customFormat="false" ht="15" hidden="false" customHeight="false" outlineLevel="0" collapsed="false">
      <c r="A84" s="5" t="s">
        <v>55</v>
      </c>
      <c r="B84" s="5" t="s">
        <v>40</v>
      </c>
      <c r="C84" s="5" t="s">
        <v>41</v>
      </c>
      <c r="D84" s="5" t="n">
        <v>60628.38</v>
      </c>
      <c r="E84" s="5" t="n">
        <v>4451</v>
      </c>
      <c r="F84" s="5" t="n">
        <v>0.095</v>
      </c>
      <c r="G84" s="5" t="n">
        <v>89.6</v>
      </c>
      <c r="H84" s="5" t="n">
        <v>4.6</v>
      </c>
      <c r="I84" s="5" t="n">
        <v>682208.01</v>
      </c>
      <c r="J84" s="5" t="n">
        <v>1</v>
      </c>
      <c r="K84" s="5" t="n">
        <v>0</v>
      </c>
      <c r="L84" s="5" t="n">
        <v>0</v>
      </c>
      <c r="P84" s="1" t="n">
        <f aca="false">E84</f>
        <v>4451</v>
      </c>
      <c r="Q84" s="1" t="n">
        <f aca="false">D84</f>
        <v>60628.38</v>
      </c>
      <c r="R84" s="1" t="n">
        <f aca="false">G84</f>
        <v>89.6</v>
      </c>
      <c r="S84" s="1" t="n">
        <f aca="false">J84</f>
        <v>1</v>
      </c>
      <c r="T84" s="1" t="n">
        <f aca="false">K84</f>
        <v>0</v>
      </c>
      <c r="U84" s="1" t="n">
        <f aca="false">L84</f>
        <v>0</v>
      </c>
      <c r="W84" s="1" t="n">
        <f aca="false">E84</f>
        <v>4451</v>
      </c>
      <c r="X84" s="1" t="n">
        <f aca="false">D84</f>
        <v>60628.38</v>
      </c>
      <c r="Y84" s="1" t="n">
        <f aca="false">G84</f>
        <v>89.6</v>
      </c>
      <c r="Z84" s="1" t="n">
        <f aca="false">F84</f>
        <v>0.095</v>
      </c>
      <c r="AA84" s="1" t="n">
        <f aca="false">H84</f>
        <v>4.6</v>
      </c>
      <c r="AB84" s="1" t="n">
        <f aca="false">J84</f>
        <v>1</v>
      </c>
      <c r="AC84" s="1" t="n">
        <f aca="false">K84</f>
        <v>0</v>
      </c>
      <c r="AD84" s="1" t="n">
        <f aca="false">L84</f>
        <v>0</v>
      </c>
    </row>
    <row r="85" customFormat="false" ht="15" hidden="false" customHeight="false" outlineLevel="0" collapsed="false">
      <c r="A85" s="5" t="s">
        <v>55</v>
      </c>
      <c r="B85" s="5" t="s">
        <v>40</v>
      </c>
      <c r="C85" s="5" t="s">
        <v>41</v>
      </c>
      <c r="D85" s="5" t="n">
        <v>72731.14</v>
      </c>
      <c r="E85" s="5" t="n">
        <v>4644</v>
      </c>
      <c r="F85" s="5" t="n">
        <v>0.084</v>
      </c>
      <c r="G85" s="5" t="n">
        <v>87.1</v>
      </c>
      <c r="H85" s="5" t="n">
        <v>4.6</v>
      </c>
      <c r="I85" s="5" t="n">
        <v>727241.86</v>
      </c>
      <c r="J85" s="5" t="n">
        <v>1</v>
      </c>
      <c r="K85" s="5" t="n">
        <v>0</v>
      </c>
      <c r="L85" s="5" t="n">
        <v>0</v>
      </c>
      <c r="P85" s="1" t="n">
        <f aca="false">E85</f>
        <v>4644</v>
      </c>
      <c r="Q85" s="1" t="n">
        <f aca="false">D85</f>
        <v>72731.14</v>
      </c>
      <c r="R85" s="1" t="n">
        <f aca="false">G85</f>
        <v>87.1</v>
      </c>
      <c r="S85" s="1" t="n">
        <f aca="false">J85</f>
        <v>1</v>
      </c>
      <c r="T85" s="1" t="n">
        <f aca="false">K85</f>
        <v>0</v>
      </c>
      <c r="U85" s="1" t="n">
        <f aca="false">L85</f>
        <v>0</v>
      </c>
      <c r="W85" s="1" t="n">
        <f aca="false">E85</f>
        <v>4644</v>
      </c>
      <c r="X85" s="1" t="n">
        <f aca="false">D85</f>
        <v>72731.14</v>
      </c>
      <c r="Y85" s="1" t="n">
        <f aca="false">G85</f>
        <v>87.1</v>
      </c>
      <c r="Z85" s="1" t="n">
        <f aca="false">F85</f>
        <v>0.084</v>
      </c>
      <c r="AA85" s="1" t="n">
        <f aca="false">H85</f>
        <v>4.6</v>
      </c>
      <c r="AB85" s="1" t="n">
        <f aca="false">J85</f>
        <v>1</v>
      </c>
      <c r="AC85" s="1" t="n">
        <f aca="false">K85</f>
        <v>0</v>
      </c>
      <c r="AD85" s="1" t="n">
        <f aca="false">L85</f>
        <v>0</v>
      </c>
    </row>
    <row r="86" customFormat="false" ht="15" hidden="false" customHeight="false" outlineLevel="0" collapsed="false">
      <c r="A86" s="5" t="s">
        <v>55</v>
      </c>
      <c r="B86" s="5" t="s">
        <v>40</v>
      </c>
      <c r="C86" s="5" t="s">
        <v>41</v>
      </c>
      <c r="D86" s="5" t="n">
        <v>36475.71</v>
      </c>
      <c r="E86" s="5" t="n">
        <v>3559</v>
      </c>
      <c r="F86" s="5" t="n">
        <v>0.03</v>
      </c>
      <c r="G86" s="5" t="n">
        <v>83.6</v>
      </c>
      <c r="H86" s="5" t="n">
        <v>4.2</v>
      </c>
      <c r="I86" s="5" t="n">
        <v>569100.78</v>
      </c>
      <c r="J86" s="5" t="n">
        <v>1</v>
      </c>
      <c r="K86" s="5" t="n">
        <v>0</v>
      </c>
      <c r="L86" s="5" t="n">
        <v>0</v>
      </c>
      <c r="P86" s="1" t="n">
        <f aca="false">E86</f>
        <v>3559</v>
      </c>
      <c r="Q86" s="1" t="n">
        <f aca="false">D86</f>
        <v>36475.71</v>
      </c>
      <c r="R86" s="1" t="n">
        <f aca="false">G86</f>
        <v>83.6</v>
      </c>
      <c r="S86" s="1" t="n">
        <f aca="false">J86</f>
        <v>1</v>
      </c>
      <c r="T86" s="1" t="n">
        <f aca="false">K86</f>
        <v>0</v>
      </c>
      <c r="U86" s="1" t="n">
        <f aca="false">L86</f>
        <v>0</v>
      </c>
      <c r="W86" s="1" t="n">
        <f aca="false">E86</f>
        <v>3559</v>
      </c>
      <c r="X86" s="1" t="n">
        <f aca="false">D86</f>
        <v>36475.71</v>
      </c>
      <c r="Y86" s="1" t="n">
        <f aca="false">G86</f>
        <v>83.6</v>
      </c>
      <c r="Z86" s="1" t="n">
        <f aca="false">F86</f>
        <v>0.03</v>
      </c>
      <c r="AA86" s="1" t="n">
        <f aca="false">H86</f>
        <v>4.2</v>
      </c>
      <c r="AB86" s="1" t="n">
        <f aca="false">J86</f>
        <v>1</v>
      </c>
      <c r="AC86" s="1" t="n">
        <f aca="false">K86</f>
        <v>0</v>
      </c>
      <c r="AD86" s="1" t="n">
        <f aca="false">L86</f>
        <v>0</v>
      </c>
    </row>
    <row r="87" customFormat="false" ht="15" hidden="false" customHeight="false" outlineLevel="0" collapsed="false">
      <c r="A87" s="5" t="s">
        <v>56</v>
      </c>
      <c r="B87" s="5" t="s">
        <v>40</v>
      </c>
      <c r="C87" s="5" t="s">
        <v>31</v>
      </c>
      <c r="D87" s="5" t="n">
        <v>55388.11</v>
      </c>
      <c r="E87" s="5" t="n">
        <v>3091</v>
      </c>
      <c r="F87" s="5" t="n">
        <v>0.108</v>
      </c>
      <c r="G87" s="5" t="n">
        <v>85.4</v>
      </c>
      <c r="H87" s="5" t="n">
        <v>4.9</v>
      </c>
      <c r="I87" s="5" t="n">
        <v>574436.29</v>
      </c>
      <c r="J87" s="5" t="n">
        <v>0</v>
      </c>
      <c r="K87" s="5" t="n">
        <v>0</v>
      </c>
      <c r="L87" s="5" t="n">
        <v>0</v>
      </c>
      <c r="P87" s="1" t="n">
        <f aca="false">E87</f>
        <v>3091</v>
      </c>
      <c r="Q87" s="1" t="n">
        <f aca="false">D87</f>
        <v>55388.11</v>
      </c>
      <c r="R87" s="1" t="n">
        <f aca="false">G87</f>
        <v>85.4</v>
      </c>
      <c r="S87" s="1" t="n">
        <f aca="false">J87</f>
        <v>0</v>
      </c>
      <c r="T87" s="1" t="n">
        <f aca="false">K87</f>
        <v>0</v>
      </c>
      <c r="U87" s="1" t="n">
        <f aca="false">L87</f>
        <v>0</v>
      </c>
      <c r="W87" s="1" t="n">
        <f aca="false">E87</f>
        <v>3091</v>
      </c>
      <c r="X87" s="1" t="n">
        <f aca="false">D87</f>
        <v>55388.11</v>
      </c>
      <c r="Y87" s="1" t="n">
        <f aca="false">G87</f>
        <v>85.4</v>
      </c>
      <c r="Z87" s="1" t="n">
        <f aca="false">F87</f>
        <v>0.108</v>
      </c>
      <c r="AA87" s="1" t="n">
        <f aca="false">H87</f>
        <v>4.9</v>
      </c>
      <c r="AB87" s="1" t="n">
        <f aca="false">J87</f>
        <v>0</v>
      </c>
      <c r="AC87" s="1" t="n">
        <f aca="false">K87</f>
        <v>0</v>
      </c>
      <c r="AD87" s="1" t="n">
        <f aca="false">L87</f>
        <v>0</v>
      </c>
    </row>
    <row r="88" customFormat="false" ht="15" hidden="false" customHeight="false" outlineLevel="0" collapsed="false">
      <c r="A88" s="5" t="s">
        <v>56</v>
      </c>
      <c r="B88" s="5" t="s">
        <v>40</v>
      </c>
      <c r="C88" s="5" t="s">
        <v>31</v>
      </c>
      <c r="D88" s="5" t="n">
        <v>88443.77</v>
      </c>
      <c r="E88" s="5" t="n">
        <v>4004</v>
      </c>
      <c r="F88" s="5" t="n">
        <v>0.206</v>
      </c>
      <c r="G88" s="5" t="n">
        <v>91.9</v>
      </c>
      <c r="H88" s="5" t="n">
        <v>3.92467948717949</v>
      </c>
      <c r="I88" s="5" t="n">
        <v>611766.72</v>
      </c>
      <c r="J88" s="5" t="n">
        <v>0</v>
      </c>
      <c r="K88" s="5" t="n">
        <v>0</v>
      </c>
      <c r="L88" s="5" t="n">
        <v>0</v>
      </c>
      <c r="P88" s="1" t="n">
        <f aca="false">E88</f>
        <v>4004</v>
      </c>
      <c r="Q88" s="1" t="n">
        <f aca="false">D88</f>
        <v>88443.77</v>
      </c>
      <c r="R88" s="1" t="n">
        <f aca="false">G88</f>
        <v>91.9</v>
      </c>
      <c r="S88" s="1" t="n">
        <f aca="false">J88</f>
        <v>0</v>
      </c>
      <c r="T88" s="1" t="n">
        <f aca="false">K88</f>
        <v>0</v>
      </c>
      <c r="U88" s="1" t="n">
        <f aca="false">L88</f>
        <v>0</v>
      </c>
      <c r="W88" s="1" t="n">
        <f aca="false">E88</f>
        <v>4004</v>
      </c>
      <c r="X88" s="1" t="n">
        <f aca="false">D88</f>
        <v>88443.77</v>
      </c>
      <c r="Y88" s="1" t="n">
        <f aca="false">G88</f>
        <v>91.9</v>
      </c>
      <c r="Z88" s="1" t="n">
        <f aca="false">F88</f>
        <v>0.206</v>
      </c>
      <c r="AA88" s="1" t="n">
        <f aca="false">H88</f>
        <v>3.92467948717949</v>
      </c>
      <c r="AB88" s="1" t="n">
        <f aca="false">J88</f>
        <v>0</v>
      </c>
      <c r="AC88" s="1" t="n">
        <f aca="false">K88</f>
        <v>0</v>
      </c>
      <c r="AD88" s="1" t="n">
        <f aca="false">L88</f>
        <v>0</v>
      </c>
    </row>
    <row r="89" customFormat="false" ht="15" hidden="false" customHeight="false" outlineLevel="0" collapsed="false">
      <c r="A89" s="5" t="s">
        <v>56</v>
      </c>
      <c r="B89" s="5" t="s">
        <v>40</v>
      </c>
      <c r="C89" s="5" t="s">
        <v>31</v>
      </c>
      <c r="D89" s="5" t="n">
        <v>78231.91</v>
      </c>
      <c r="E89" s="5" t="n">
        <v>3788</v>
      </c>
      <c r="F89" s="5" t="n">
        <v>0.059</v>
      </c>
      <c r="G89" s="5" t="n">
        <v>88.5</v>
      </c>
      <c r="H89" s="5" t="n">
        <v>4.3</v>
      </c>
      <c r="I89" s="5" t="n">
        <v>614596.32</v>
      </c>
      <c r="J89" s="5" t="n">
        <v>0</v>
      </c>
      <c r="K89" s="5" t="n">
        <v>0</v>
      </c>
      <c r="L89" s="5" t="n">
        <v>0</v>
      </c>
      <c r="P89" s="1" t="n">
        <f aca="false">E89</f>
        <v>3788</v>
      </c>
      <c r="Q89" s="1" t="n">
        <f aca="false">D89</f>
        <v>78231.91</v>
      </c>
      <c r="R89" s="1" t="n">
        <f aca="false">G89</f>
        <v>88.5</v>
      </c>
      <c r="S89" s="1" t="n">
        <f aca="false">J89</f>
        <v>0</v>
      </c>
      <c r="T89" s="1" t="n">
        <f aca="false">K89</f>
        <v>0</v>
      </c>
      <c r="U89" s="1" t="n">
        <f aca="false">L89</f>
        <v>0</v>
      </c>
      <c r="W89" s="1" t="n">
        <f aca="false">E89</f>
        <v>3788</v>
      </c>
      <c r="X89" s="1" t="n">
        <f aca="false">D89</f>
        <v>78231.91</v>
      </c>
      <c r="Y89" s="1" t="n">
        <f aca="false">G89</f>
        <v>88.5</v>
      </c>
      <c r="Z89" s="1" t="n">
        <f aca="false">F89</f>
        <v>0.059</v>
      </c>
      <c r="AA89" s="1" t="n">
        <f aca="false">H89</f>
        <v>4.3</v>
      </c>
      <c r="AB89" s="1" t="n">
        <f aca="false">J89</f>
        <v>0</v>
      </c>
      <c r="AC89" s="1" t="n">
        <f aca="false">K89</f>
        <v>0</v>
      </c>
      <c r="AD89" s="1" t="n">
        <f aca="false">L89</f>
        <v>0</v>
      </c>
    </row>
    <row r="90" customFormat="false" ht="15" hidden="false" customHeight="false" outlineLevel="0" collapsed="false">
      <c r="A90" s="5" t="s">
        <v>56</v>
      </c>
      <c r="B90" s="5" t="s">
        <v>40</v>
      </c>
      <c r="C90" s="5" t="s">
        <v>31</v>
      </c>
      <c r="D90" s="5" t="n">
        <v>18996.32</v>
      </c>
      <c r="E90" s="5" t="n">
        <v>1260</v>
      </c>
      <c r="F90" s="5" t="n">
        <v>0.145</v>
      </c>
      <c r="G90" s="5" t="n">
        <v>86.4</v>
      </c>
      <c r="H90" s="5" t="n">
        <v>4.6</v>
      </c>
      <c r="I90" s="5" t="n">
        <v>450711.92</v>
      </c>
      <c r="J90" s="5" t="n">
        <v>0</v>
      </c>
      <c r="K90" s="5" t="n">
        <v>0</v>
      </c>
      <c r="L90" s="5" t="n">
        <v>0</v>
      </c>
      <c r="P90" s="1" t="n">
        <f aca="false">E90</f>
        <v>1260</v>
      </c>
      <c r="Q90" s="1" t="n">
        <f aca="false">D90</f>
        <v>18996.32</v>
      </c>
      <c r="R90" s="1" t="n">
        <f aca="false">G90</f>
        <v>86.4</v>
      </c>
      <c r="S90" s="1" t="n">
        <f aca="false">J90</f>
        <v>0</v>
      </c>
      <c r="T90" s="1" t="n">
        <f aca="false">K90</f>
        <v>0</v>
      </c>
      <c r="U90" s="1" t="n">
        <f aca="false">L90</f>
        <v>0</v>
      </c>
      <c r="W90" s="1" t="n">
        <f aca="false">E90</f>
        <v>1260</v>
      </c>
      <c r="X90" s="1" t="n">
        <f aca="false">D90</f>
        <v>18996.32</v>
      </c>
      <c r="Y90" s="1" t="n">
        <f aca="false">G90</f>
        <v>86.4</v>
      </c>
      <c r="Z90" s="1" t="n">
        <f aca="false">F90</f>
        <v>0.145</v>
      </c>
      <c r="AA90" s="1" t="n">
        <f aca="false">H90</f>
        <v>4.6</v>
      </c>
      <c r="AB90" s="1" t="n">
        <f aca="false">J90</f>
        <v>0</v>
      </c>
      <c r="AC90" s="1" t="n">
        <f aca="false">K90</f>
        <v>0</v>
      </c>
      <c r="AD90" s="1" t="n">
        <f aca="false">L90</f>
        <v>0</v>
      </c>
    </row>
    <row r="91" customFormat="false" ht="15" hidden="false" customHeight="false" outlineLevel="0" collapsed="false">
      <c r="A91" s="5" t="s">
        <v>57</v>
      </c>
      <c r="B91" s="5" t="s">
        <v>37</v>
      </c>
      <c r="C91" s="5" t="s">
        <v>41</v>
      </c>
      <c r="D91" s="5" t="n">
        <v>50517.94</v>
      </c>
      <c r="E91" s="5" t="n">
        <v>7024</v>
      </c>
      <c r="F91" s="5" t="n">
        <v>0.029</v>
      </c>
      <c r="G91" s="5" t="n">
        <v>79.2</v>
      </c>
      <c r="H91" s="5" t="n">
        <v>4.1</v>
      </c>
      <c r="I91" s="5" t="n">
        <v>711213.46</v>
      </c>
      <c r="J91" s="5" t="n">
        <v>1</v>
      </c>
      <c r="K91" s="5" t="n">
        <v>0</v>
      </c>
      <c r="L91" s="5" t="n">
        <v>0</v>
      </c>
      <c r="P91" s="1" t="n">
        <f aca="false">E91</f>
        <v>7024</v>
      </c>
      <c r="Q91" s="1" t="n">
        <f aca="false">D91</f>
        <v>50517.94</v>
      </c>
      <c r="R91" s="1" t="n">
        <f aca="false">G91</f>
        <v>79.2</v>
      </c>
      <c r="S91" s="1" t="n">
        <f aca="false">J91</f>
        <v>1</v>
      </c>
      <c r="T91" s="1" t="n">
        <f aca="false">K91</f>
        <v>0</v>
      </c>
      <c r="U91" s="1" t="n">
        <f aca="false">L91</f>
        <v>0</v>
      </c>
      <c r="W91" s="1" t="n">
        <f aca="false">E91</f>
        <v>7024</v>
      </c>
      <c r="X91" s="1" t="n">
        <f aca="false">D91</f>
        <v>50517.94</v>
      </c>
      <c r="Y91" s="1" t="n">
        <f aca="false">G91</f>
        <v>79.2</v>
      </c>
      <c r="Z91" s="1" t="n">
        <f aca="false">F91</f>
        <v>0.029</v>
      </c>
      <c r="AA91" s="1" t="n">
        <f aca="false">H91</f>
        <v>4.1</v>
      </c>
      <c r="AB91" s="1" t="n">
        <f aca="false">J91</f>
        <v>1</v>
      </c>
      <c r="AC91" s="1" t="n">
        <f aca="false">K91</f>
        <v>0</v>
      </c>
      <c r="AD91" s="1" t="n">
        <f aca="false">L91</f>
        <v>0</v>
      </c>
    </row>
    <row r="92" customFormat="false" ht="15" hidden="false" customHeight="false" outlineLevel="0" collapsed="false">
      <c r="A92" s="5" t="s">
        <v>57</v>
      </c>
      <c r="B92" s="5" t="s">
        <v>37</v>
      </c>
      <c r="C92" s="5" t="s">
        <v>41</v>
      </c>
      <c r="D92" s="5" t="n">
        <v>141540.29</v>
      </c>
      <c r="E92" s="5" t="n">
        <v>5400</v>
      </c>
      <c r="F92" s="5" t="n">
        <v>0.013</v>
      </c>
      <c r="G92" s="5" t="n">
        <v>87</v>
      </c>
      <c r="H92" s="5" t="n">
        <v>4.5</v>
      </c>
      <c r="I92" s="5" t="n">
        <v>627171.9</v>
      </c>
      <c r="J92" s="5" t="n">
        <v>1</v>
      </c>
      <c r="K92" s="5" t="n">
        <v>0</v>
      </c>
      <c r="L92" s="5" t="n">
        <v>0</v>
      </c>
      <c r="P92" s="1" t="n">
        <f aca="false">E92</f>
        <v>5400</v>
      </c>
      <c r="Q92" s="1" t="n">
        <f aca="false">D92</f>
        <v>141540.29</v>
      </c>
      <c r="R92" s="1" t="n">
        <f aca="false">G92</f>
        <v>87</v>
      </c>
      <c r="S92" s="1" t="n">
        <f aca="false">J92</f>
        <v>1</v>
      </c>
      <c r="T92" s="1" t="n">
        <f aca="false">K92</f>
        <v>0</v>
      </c>
      <c r="U92" s="1" t="n">
        <f aca="false">L92</f>
        <v>0</v>
      </c>
      <c r="W92" s="1" t="n">
        <f aca="false">E92</f>
        <v>5400</v>
      </c>
      <c r="X92" s="1" t="n">
        <f aca="false">D92</f>
        <v>141540.29</v>
      </c>
      <c r="Y92" s="1" t="n">
        <f aca="false">G92</f>
        <v>87</v>
      </c>
      <c r="Z92" s="1" t="n">
        <f aca="false">F92</f>
        <v>0.013</v>
      </c>
      <c r="AA92" s="1" t="n">
        <f aca="false">H92</f>
        <v>4.5</v>
      </c>
      <c r="AB92" s="1" t="n">
        <f aca="false">J92</f>
        <v>1</v>
      </c>
      <c r="AC92" s="1" t="n">
        <f aca="false">K92</f>
        <v>0</v>
      </c>
      <c r="AD92" s="1" t="n">
        <f aca="false">L92</f>
        <v>0</v>
      </c>
    </row>
    <row r="93" customFormat="false" ht="15" hidden="false" customHeight="false" outlineLevel="0" collapsed="false">
      <c r="A93" s="5" t="s">
        <v>57</v>
      </c>
      <c r="B93" s="5" t="s">
        <v>37</v>
      </c>
      <c r="C93" s="5" t="s">
        <v>41</v>
      </c>
      <c r="D93" s="5" t="n">
        <v>82116.19</v>
      </c>
      <c r="E93" s="5" t="n">
        <v>5988</v>
      </c>
      <c r="F93" s="5" t="n">
        <v>0.04</v>
      </c>
      <c r="G93" s="5" t="n">
        <v>91.8</v>
      </c>
      <c r="H93" s="5" t="n">
        <v>4.7</v>
      </c>
      <c r="I93" s="5" t="n">
        <v>739852.58</v>
      </c>
      <c r="J93" s="5" t="n">
        <v>1</v>
      </c>
      <c r="K93" s="5" t="n">
        <v>0</v>
      </c>
      <c r="L93" s="5" t="n">
        <v>0</v>
      </c>
      <c r="P93" s="1" t="n">
        <f aca="false">E93</f>
        <v>5988</v>
      </c>
      <c r="Q93" s="1" t="n">
        <f aca="false">D93</f>
        <v>82116.19</v>
      </c>
      <c r="R93" s="1" t="n">
        <f aca="false">G93</f>
        <v>91.8</v>
      </c>
      <c r="S93" s="1" t="n">
        <f aca="false">J93</f>
        <v>1</v>
      </c>
      <c r="T93" s="1" t="n">
        <f aca="false">K93</f>
        <v>0</v>
      </c>
      <c r="U93" s="1" t="n">
        <f aca="false">L93</f>
        <v>0</v>
      </c>
      <c r="W93" s="1" t="n">
        <f aca="false">E93</f>
        <v>5988</v>
      </c>
      <c r="X93" s="1" t="n">
        <f aca="false">D93</f>
        <v>82116.19</v>
      </c>
      <c r="Y93" s="1" t="n">
        <f aca="false">G93</f>
        <v>91.8</v>
      </c>
      <c r="Z93" s="1" t="n">
        <f aca="false">F93</f>
        <v>0.04</v>
      </c>
      <c r="AA93" s="1" t="n">
        <f aca="false">H93</f>
        <v>4.7</v>
      </c>
      <c r="AB93" s="1" t="n">
        <f aca="false">J93</f>
        <v>1</v>
      </c>
      <c r="AC93" s="1" t="n">
        <f aca="false">K93</f>
        <v>0</v>
      </c>
      <c r="AD93" s="1" t="n">
        <f aca="false">L93</f>
        <v>0</v>
      </c>
    </row>
    <row r="94" customFormat="false" ht="15" hidden="false" customHeight="false" outlineLevel="0" collapsed="false">
      <c r="A94" s="5" t="s">
        <v>57</v>
      </c>
      <c r="B94" s="5" t="s">
        <v>37</v>
      </c>
      <c r="C94" s="5" t="s">
        <v>41</v>
      </c>
      <c r="D94" s="5" t="n">
        <v>31207.51</v>
      </c>
      <c r="E94" s="5" t="n">
        <v>3701</v>
      </c>
      <c r="F94" s="5" t="n">
        <v>0.043</v>
      </c>
      <c r="G94" s="5" t="n">
        <v>84.7</v>
      </c>
      <c r="H94" s="5" t="n">
        <v>4.3</v>
      </c>
      <c r="I94" s="5" t="n">
        <v>586307.22</v>
      </c>
      <c r="J94" s="5" t="n">
        <v>1</v>
      </c>
      <c r="K94" s="5" t="n">
        <v>0</v>
      </c>
      <c r="L94" s="5" t="n">
        <v>0</v>
      </c>
      <c r="P94" s="1" t="n">
        <f aca="false">E94</f>
        <v>3701</v>
      </c>
      <c r="Q94" s="1" t="n">
        <f aca="false">D94</f>
        <v>31207.51</v>
      </c>
      <c r="R94" s="1" t="n">
        <f aca="false">G94</f>
        <v>84.7</v>
      </c>
      <c r="S94" s="1" t="n">
        <f aca="false">J94</f>
        <v>1</v>
      </c>
      <c r="T94" s="1" t="n">
        <f aca="false">K94</f>
        <v>0</v>
      </c>
      <c r="U94" s="1" t="n">
        <f aca="false">L94</f>
        <v>0</v>
      </c>
      <c r="W94" s="1" t="n">
        <f aca="false">E94</f>
        <v>3701</v>
      </c>
      <c r="X94" s="1" t="n">
        <f aca="false">D94</f>
        <v>31207.51</v>
      </c>
      <c r="Y94" s="1" t="n">
        <f aca="false">G94</f>
        <v>84.7</v>
      </c>
      <c r="Z94" s="1" t="n">
        <f aca="false">F94</f>
        <v>0.043</v>
      </c>
      <c r="AA94" s="1" t="n">
        <f aca="false">H94</f>
        <v>4.3</v>
      </c>
      <c r="AB94" s="1" t="n">
        <f aca="false">J94</f>
        <v>1</v>
      </c>
      <c r="AC94" s="1" t="n">
        <f aca="false">K94</f>
        <v>0</v>
      </c>
      <c r="AD94" s="1" t="n">
        <f aca="false">L94</f>
        <v>0</v>
      </c>
    </row>
    <row r="95" customFormat="false" ht="15" hidden="false" customHeight="false" outlineLevel="0" collapsed="false">
      <c r="A95" s="5" t="s">
        <v>58</v>
      </c>
      <c r="B95" s="5" t="s">
        <v>40</v>
      </c>
      <c r="C95" s="5" t="s">
        <v>29</v>
      </c>
      <c r="D95" s="5" t="n">
        <v>38966.59</v>
      </c>
      <c r="E95" s="5" t="n">
        <v>4509</v>
      </c>
      <c r="F95" s="5" t="n">
        <v>0.194</v>
      </c>
      <c r="G95" s="5" t="n">
        <v>91.1</v>
      </c>
      <c r="H95" s="5" t="n">
        <v>4.6</v>
      </c>
      <c r="I95" s="5" t="n">
        <v>585937.48</v>
      </c>
      <c r="J95" s="5" t="n">
        <v>0</v>
      </c>
      <c r="K95" s="5" t="n">
        <v>1</v>
      </c>
      <c r="L95" s="5" t="n">
        <v>0</v>
      </c>
      <c r="P95" s="1" t="n">
        <f aca="false">E95</f>
        <v>4509</v>
      </c>
      <c r="Q95" s="1" t="n">
        <f aca="false">D95</f>
        <v>38966.59</v>
      </c>
      <c r="R95" s="1" t="n">
        <f aca="false">G95</f>
        <v>91.1</v>
      </c>
      <c r="S95" s="1" t="n">
        <f aca="false">J95</f>
        <v>0</v>
      </c>
      <c r="T95" s="1" t="n">
        <f aca="false">K95</f>
        <v>1</v>
      </c>
      <c r="U95" s="1" t="n">
        <f aca="false">L95</f>
        <v>0</v>
      </c>
      <c r="W95" s="1" t="n">
        <f aca="false">E95</f>
        <v>4509</v>
      </c>
      <c r="X95" s="1" t="n">
        <f aca="false">D95</f>
        <v>38966.59</v>
      </c>
      <c r="Y95" s="1" t="n">
        <f aca="false">G95</f>
        <v>91.1</v>
      </c>
      <c r="Z95" s="1" t="n">
        <f aca="false">F95</f>
        <v>0.194</v>
      </c>
      <c r="AA95" s="1" t="n">
        <f aca="false">H95</f>
        <v>4.6</v>
      </c>
      <c r="AB95" s="1" t="n">
        <f aca="false">J95</f>
        <v>0</v>
      </c>
      <c r="AC95" s="1" t="n">
        <f aca="false">K95</f>
        <v>1</v>
      </c>
      <c r="AD95" s="1" t="n">
        <f aca="false">L95</f>
        <v>0</v>
      </c>
    </row>
    <row r="96" customFormat="false" ht="15" hidden="false" customHeight="false" outlineLevel="0" collapsed="false">
      <c r="A96" s="5" t="s">
        <v>58</v>
      </c>
      <c r="B96" s="5" t="s">
        <v>40</v>
      </c>
      <c r="C96" s="5" t="s">
        <v>29</v>
      </c>
      <c r="D96" s="5" t="n">
        <v>67439.3</v>
      </c>
      <c r="E96" s="5" t="n">
        <v>6477</v>
      </c>
      <c r="F96" s="5" t="n">
        <v>0</v>
      </c>
      <c r="G96" s="5" t="n">
        <v>90.9</v>
      </c>
      <c r="H96" s="5" t="n">
        <v>4.5</v>
      </c>
      <c r="I96" s="5" t="n">
        <v>753473.55</v>
      </c>
      <c r="J96" s="5" t="n">
        <v>0</v>
      </c>
      <c r="K96" s="5" t="n">
        <v>1</v>
      </c>
      <c r="L96" s="5" t="n">
        <v>0</v>
      </c>
      <c r="P96" s="1" t="n">
        <f aca="false">E96</f>
        <v>6477</v>
      </c>
      <c r="Q96" s="1" t="n">
        <f aca="false">D96</f>
        <v>67439.3</v>
      </c>
      <c r="R96" s="1" t="n">
        <f aca="false">G96</f>
        <v>90.9</v>
      </c>
      <c r="S96" s="1" t="n">
        <f aca="false">J96</f>
        <v>0</v>
      </c>
      <c r="T96" s="1" t="n">
        <f aca="false">K96</f>
        <v>1</v>
      </c>
      <c r="U96" s="1" t="n">
        <f aca="false">L96</f>
        <v>0</v>
      </c>
      <c r="W96" s="1" t="n">
        <f aca="false">E96</f>
        <v>6477</v>
      </c>
      <c r="X96" s="1" t="n">
        <f aca="false">D96</f>
        <v>67439.3</v>
      </c>
      <c r="Y96" s="1" t="n">
        <f aca="false">G96</f>
        <v>90.9</v>
      </c>
      <c r="Z96" s="1" t="n">
        <f aca="false">F96</f>
        <v>0</v>
      </c>
      <c r="AA96" s="1" t="n">
        <f aca="false">H96</f>
        <v>4.5</v>
      </c>
      <c r="AB96" s="1" t="n">
        <f aca="false">J96</f>
        <v>0</v>
      </c>
      <c r="AC96" s="1" t="n">
        <f aca="false">K96</f>
        <v>1</v>
      </c>
      <c r="AD96" s="1" t="n">
        <f aca="false">L96</f>
        <v>0</v>
      </c>
    </row>
    <row r="97" customFormat="false" ht="15" hidden="false" customHeight="false" outlineLevel="0" collapsed="false">
      <c r="A97" s="5" t="s">
        <v>58</v>
      </c>
      <c r="B97" s="5" t="s">
        <v>40</v>
      </c>
      <c r="C97" s="5" t="s">
        <v>29</v>
      </c>
      <c r="D97" s="5" t="n">
        <v>86421.88</v>
      </c>
      <c r="E97" s="5" t="n">
        <v>7970</v>
      </c>
      <c r="F97" s="5" t="n">
        <v>0.073</v>
      </c>
      <c r="G97" s="5" t="n">
        <v>91.3</v>
      </c>
      <c r="H97" s="5" t="n">
        <v>5</v>
      </c>
      <c r="I97" s="5" t="n">
        <v>838250.32</v>
      </c>
      <c r="J97" s="5" t="n">
        <v>0</v>
      </c>
      <c r="K97" s="5" t="n">
        <v>1</v>
      </c>
      <c r="L97" s="5" t="n">
        <v>0</v>
      </c>
      <c r="P97" s="1" t="n">
        <f aca="false">E97</f>
        <v>7970</v>
      </c>
      <c r="Q97" s="1" t="n">
        <f aca="false">D97</f>
        <v>86421.88</v>
      </c>
      <c r="R97" s="1" t="n">
        <f aca="false">G97</f>
        <v>91.3</v>
      </c>
      <c r="S97" s="1" t="n">
        <f aca="false">J97</f>
        <v>0</v>
      </c>
      <c r="T97" s="1" t="n">
        <f aca="false">K97</f>
        <v>1</v>
      </c>
      <c r="U97" s="1" t="n">
        <f aca="false">L97</f>
        <v>0</v>
      </c>
      <c r="W97" s="1" t="n">
        <f aca="false">E97</f>
        <v>7970</v>
      </c>
      <c r="X97" s="1" t="n">
        <f aca="false">D97</f>
        <v>86421.88</v>
      </c>
      <c r="Y97" s="1" t="n">
        <f aca="false">G97</f>
        <v>91.3</v>
      </c>
      <c r="Z97" s="1" t="n">
        <f aca="false">F97</f>
        <v>0.073</v>
      </c>
      <c r="AA97" s="1" t="n">
        <f aca="false">H97</f>
        <v>5</v>
      </c>
      <c r="AB97" s="1" t="n">
        <f aca="false">J97</f>
        <v>0</v>
      </c>
      <c r="AC97" s="1" t="n">
        <f aca="false">K97</f>
        <v>1</v>
      </c>
      <c r="AD97" s="1" t="n">
        <f aca="false">L97</f>
        <v>0</v>
      </c>
    </row>
    <row r="98" customFormat="false" ht="15" hidden="false" customHeight="false" outlineLevel="0" collapsed="false">
      <c r="A98" s="5" t="s">
        <v>58</v>
      </c>
      <c r="B98" s="5" t="s">
        <v>40</v>
      </c>
      <c r="C98" s="5" t="s">
        <v>29</v>
      </c>
      <c r="D98" s="5" t="n">
        <v>9534.65</v>
      </c>
      <c r="E98" s="5" t="n">
        <v>6057</v>
      </c>
      <c r="F98" s="5" t="n">
        <v>0.074</v>
      </c>
      <c r="G98" s="5" t="n">
        <v>94.1</v>
      </c>
      <c r="H98" s="5" t="n">
        <v>4.5</v>
      </c>
      <c r="I98" s="5" t="n">
        <v>607898.12</v>
      </c>
      <c r="J98" s="5" t="n">
        <v>0</v>
      </c>
      <c r="K98" s="5" t="n">
        <v>1</v>
      </c>
      <c r="L98" s="5" t="n">
        <v>0</v>
      </c>
      <c r="P98" s="1" t="n">
        <f aca="false">E98</f>
        <v>6057</v>
      </c>
      <c r="Q98" s="1" t="n">
        <f aca="false">D98</f>
        <v>9534.65</v>
      </c>
      <c r="R98" s="1" t="n">
        <f aca="false">G98</f>
        <v>94.1</v>
      </c>
      <c r="S98" s="1" t="n">
        <f aca="false">J98</f>
        <v>0</v>
      </c>
      <c r="T98" s="1" t="n">
        <f aca="false">K98</f>
        <v>1</v>
      </c>
      <c r="U98" s="1" t="n">
        <f aca="false">L98</f>
        <v>0</v>
      </c>
      <c r="W98" s="1" t="n">
        <f aca="false">E98</f>
        <v>6057</v>
      </c>
      <c r="X98" s="1" t="n">
        <f aca="false">D98</f>
        <v>9534.65</v>
      </c>
      <c r="Y98" s="1" t="n">
        <f aca="false">G98</f>
        <v>94.1</v>
      </c>
      <c r="Z98" s="1" t="n">
        <f aca="false">F98</f>
        <v>0.074</v>
      </c>
      <c r="AA98" s="1" t="n">
        <f aca="false">H98</f>
        <v>4.5</v>
      </c>
      <c r="AB98" s="1" t="n">
        <f aca="false">J98</f>
        <v>0</v>
      </c>
      <c r="AC98" s="1" t="n">
        <f aca="false">K98</f>
        <v>1</v>
      </c>
      <c r="AD98" s="1" t="n">
        <f aca="false">L98</f>
        <v>0</v>
      </c>
    </row>
    <row r="99" customFormat="false" ht="15" hidden="false" customHeight="false" outlineLevel="0" collapsed="false">
      <c r="A99" s="5" t="s">
        <v>59</v>
      </c>
      <c r="B99" s="5" t="s">
        <v>40</v>
      </c>
      <c r="C99" s="5" t="s">
        <v>41</v>
      </c>
      <c r="D99" s="5" t="n">
        <v>61132.07</v>
      </c>
      <c r="E99" s="5" t="n">
        <v>6394</v>
      </c>
      <c r="F99" s="5" t="n">
        <v>0.163</v>
      </c>
      <c r="G99" s="5" t="n">
        <v>91</v>
      </c>
      <c r="H99" s="5" t="n">
        <v>4.4</v>
      </c>
      <c r="I99" s="5" t="n">
        <v>691113.62</v>
      </c>
      <c r="J99" s="5" t="n">
        <v>1</v>
      </c>
      <c r="K99" s="5" t="n">
        <v>0</v>
      </c>
      <c r="L99" s="5" t="n">
        <v>0</v>
      </c>
      <c r="P99" s="1" t="n">
        <f aca="false">E99</f>
        <v>6394</v>
      </c>
      <c r="Q99" s="1" t="n">
        <f aca="false">D99</f>
        <v>61132.07</v>
      </c>
      <c r="R99" s="1" t="n">
        <f aca="false">G99</f>
        <v>91</v>
      </c>
      <c r="S99" s="1" t="n">
        <f aca="false">J99</f>
        <v>1</v>
      </c>
      <c r="T99" s="1" t="n">
        <f aca="false">K99</f>
        <v>0</v>
      </c>
      <c r="U99" s="1" t="n">
        <f aca="false">L99</f>
        <v>0</v>
      </c>
      <c r="W99" s="1" t="n">
        <f aca="false">E99</f>
        <v>6394</v>
      </c>
      <c r="X99" s="1" t="n">
        <f aca="false">D99</f>
        <v>61132.07</v>
      </c>
      <c r="Y99" s="1" t="n">
        <f aca="false">G99</f>
        <v>91</v>
      </c>
      <c r="Z99" s="1" t="n">
        <f aca="false">F99</f>
        <v>0.163</v>
      </c>
      <c r="AA99" s="1" t="n">
        <f aca="false">H99</f>
        <v>4.4</v>
      </c>
      <c r="AB99" s="1" t="n">
        <f aca="false">J99</f>
        <v>1</v>
      </c>
      <c r="AC99" s="1" t="n">
        <f aca="false">K99</f>
        <v>0</v>
      </c>
      <c r="AD99" s="1" t="n">
        <f aca="false">L99</f>
        <v>0</v>
      </c>
    </row>
    <row r="100" customFormat="false" ht="15" hidden="false" customHeight="false" outlineLevel="0" collapsed="false">
      <c r="A100" s="5" t="s">
        <v>59</v>
      </c>
      <c r="B100" s="5" t="s">
        <v>40</v>
      </c>
      <c r="C100" s="5" t="s">
        <v>41</v>
      </c>
      <c r="D100" s="5" t="n">
        <v>78839.39</v>
      </c>
      <c r="E100" s="5" t="n">
        <v>5150</v>
      </c>
      <c r="F100" s="5" t="n">
        <v>0.171</v>
      </c>
      <c r="G100" s="5" t="n">
        <v>85.8</v>
      </c>
      <c r="H100" s="5" t="n">
        <v>4.3</v>
      </c>
      <c r="I100" s="5" t="n">
        <v>735509.4</v>
      </c>
      <c r="J100" s="5" t="n">
        <v>1</v>
      </c>
      <c r="K100" s="5" t="n">
        <v>0</v>
      </c>
      <c r="L100" s="5" t="n">
        <v>0</v>
      </c>
      <c r="P100" s="1" t="n">
        <f aca="false">E100</f>
        <v>5150</v>
      </c>
      <c r="Q100" s="1" t="n">
        <f aca="false">D100</f>
        <v>78839.39</v>
      </c>
      <c r="R100" s="1" t="n">
        <f aca="false">G100</f>
        <v>85.8</v>
      </c>
      <c r="S100" s="1" t="n">
        <f aca="false">J100</f>
        <v>1</v>
      </c>
      <c r="T100" s="1" t="n">
        <f aca="false">K100</f>
        <v>0</v>
      </c>
      <c r="U100" s="1" t="n">
        <f aca="false">L100</f>
        <v>0</v>
      </c>
      <c r="W100" s="1" t="n">
        <f aca="false">E100</f>
        <v>5150</v>
      </c>
      <c r="X100" s="1" t="n">
        <f aca="false">D100</f>
        <v>78839.39</v>
      </c>
      <c r="Y100" s="1" t="n">
        <f aca="false">G100</f>
        <v>85.8</v>
      </c>
      <c r="Z100" s="1" t="n">
        <f aca="false">F100</f>
        <v>0.171</v>
      </c>
      <c r="AA100" s="1" t="n">
        <f aca="false">H100</f>
        <v>4.3</v>
      </c>
      <c r="AB100" s="1" t="n">
        <f aca="false">J100</f>
        <v>1</v>
      </c>
      <c r="AC100" s="1" t="n">
        <f aca="false">K100</f>
        <v>0</v>
      </c>
      <c r="AD100" s="1" t="n">
        <f aca="false">L100</f>
        <v>0</v>
      </c>
    </row>
    <row r="101" customFormat="false" ht="15" hidden="false" customHeight="false" outlineLevel="0" collapsed="false">
      <c r="A101" s="5" t="s">
        <v>59</v>
      </c>
      <c r="B101" s="5" t="s">
        <v>40</v>
      </c>
      <c r="C101" s="5" t="s">
        <v>41</v>
      </c>
      <c r="D101" s="5" t="n">
        <v>38752.8</v>
      </c>
      <c r="E101" s="5" t="n">
        <v>4712</v>
      </c>
      <c r="F101" s="5" t="n">
        <v>0.075</v>
      </c>
      <c r="G101" s="5" t="n">
        <v>89.7</v>
      </c>
      <c r="H101" s="5" t="n">
        <v>4.3</v>
      </c>
      <c r="I101" s="5" t="n">
        <v>605775.33</v>
      </c>
      <c r="J101" s="5" t="n">
        <v>1</v>
      </c>
      <c r="K101" s="5" t="n">
        <v>0</v>
      </c>
      <c r="L101" s="5" t="n">
        <v>0</v>
      </c>
      <c r="P101" s="1" t="n">
        <f aca="false">E101</f>
        <v>4712</v>
      </c>
      <c r="Q101" s="1" t="n">
        <f aca="false">D101</f>
        <v>38752.8</v>
      </c>
      <c r="R101" s="1" t="n">
        <f aca="false">G101</f>
        <v>89.7</v>
      </c>
      <c r="S101" s="1" t="n">
        <f aca="false">J101</f>
        <v>1</v>
      </c>
      <c r="T101" s="1" t="n">
        <f aca="false">K101</f>
        <v>0</v>
      </c>
      <c r="U101" s="1" t="n">
        <f aca="false">L101</f>
        <v>0</v>
      </c>
      <c r="W101" s="1" t="n">
        <f aca="false">E101</f>
        <v>4712</v>
      </c>
      <c r="X101" s="1" t="n">
        <f aca="false">D101</f>
        <v>38752.8</v>
      </c>
      <c r="Y101" s="1" t="n">
        <f aca="false">G101</f>
        <v>89.7</v>
      </c>
      <c r="Z101" s="1" t="n">
        <f aca="false">F101</f>
        <v>0.075</v>
      </c>
      <c r="AA101" s="1" t="n">
        <f aca="false">H101</f>
        <v>4.3</v>
      </c>
      <c r="AB101" s="1" t="n">
        <f aca="false">J101</f>
        <v>1</v>
      </c>
      <c r="AC101" s="1" t="n">
        <f aca="false">K101</f>
        <v>0</v>
      </c>
      <c r="AD101" s="1" t="n">
        <f aca="false">L101</f>
        <v>0</v>
      </c>
    </row>
    <row r="102" customFormat="false" ht="15" hidden="false" customHeight="false" outlineLevel="0" collapsed="false">
      <c r="A102" s="5" t="s">
        <v>59</v>
      </c>
      <c r="B102" s="5" t="s">
        <v>40</v>
      </c>
      <c r="C102" s="5" t="s">
        <v>41</v>
      </c>
      <c r="D102" s="5" t="n">
        <v>55101.1</v>
      </c>
      <c r="E102" s="5" t="n">
        <v>5281</v>
      </c>
      <c r="F102" s="5" t="n">
        <v>0.189</v>
      </c>
      <c r="G102" s="5" t="n">
        <v>91</v>
      </c>
      <c r="H102" s="5" t="n">
        <v>4.4</v>
      </c>
      <c r="I102" s="5" t="n">
        <v>675177.68</v>
      </c>
      <c r="J102" s="5" t="n">
        <v>1</v>
      </c>
      <c r="K102" s="5" t="n">
        <v>0</v>
      </c>
      <c r="L102" s="5" t="n">
        <v>0</v>
      </c>
      <c r="P102" s="1" t="n">
        <f aca="false">E102</f>
        <v>5281</v>
      </c>
      <c r="Q102" s="1" t="n">
        <f aca="false">D102</f>
        <v>55101.1</v>
      </c>
      <c r="R102" s="1" t="n">
        <f aca="false">G102</f>
        <v>91</v>
      </c>
      <c r="S102" s="1" t="n">
        <f aca="false">J102</f>
        <v>1</v>
      </c>
      <c r="T102" s="1" t="n">
        <f aca="false">K102</f>
        <v>0</v>
      </c>
      <c r="U102" s="1" t="n">
        <f aca="false">L102</f>
        <v>0</v>
      </c>
      <c r="W102" s="1" t="n">
        <f aca="false">E102</f>
        <v>5281</v>
      </c>
      <c r="X102" s="1" t="n">
        <f aca="false">D102</f>
        <v>55101.1</v>
      </c>
      <c r="Y102" s="1" t="n">
        <f aca="false">G102</f>
        <v>91</v>
      </c>
      <c r="Z102" s="1" t="n">
        <f aca="false">F102</f>
        <v>0.189</v>
      </c>
      <c r="AA102" s="1" t="n">
        <f aca="false">H102</f>
        <v>4.4</v>
      </c>
      <c r="AB102" s="1" t="n">
        <f aca="false">J102</f>
        <v>1</v>
      </c>
      <c r="AC102" s="1" t="n">
        <f aca="false">K102</f>
        <v>0</v>
      </c>
      <c r="AD102" s="1" t="n">
        <f aca="false">L102</f>
        <v>0</v>
      </c>
    </row>
    <row r="103" customFormat="false" ht="15" hidden="false" customHeight="false" outlineLevel="0" collapsed="false">
      <c r="A103" s="5" t="s">
        <v>60</v>
      </c>
      <c r="B103" s="5" t="s">
        <v>28</v>
      </c>
      <c r="C103" s="5" t="s">
        <v>41</v>
      </c>
      <c r="D103" s="5" t="n">
        <v>53084.76</v>
      </c>
      <c r="E103" s="5" t="n">
        <v>3642</v>
      </c>
      <c r="F103" s="5" t="n">
        <v>0.15</v>
      </c>
      <c r="G103" s="5" t="n">
        <v>91.4</v>
      </c>
      <c r="H103" s="5" t="n">
        <v>4.4</v>
      </c>
      <c r="I103" s="5" t="n">
        <v>635181.35</v>
      </c>
      <c r="J103" s="5" t="n">
        <v>1</v>
      </c>
      <c r="K103" s="5" t="n">
        <v>0</v>
      </c>
      <c r="L103" s="5" t="n">
        <v>0</v>
      </c>
      <c r="P103" s="1" t="n">
        <f aca="false">E103</f>
        <v>3642</v>
      </c>
      <c r="Q103" s="1" t="n">
        <f aca="false">D103</f>
        <v>53084.76</v>
      </c>
      <c r="R103" s="1" t="n">
        <f aca="false">G103</f>
        <v>91.4</v>
      </c>
      <c r="S103" s="1" t="n">
        <f aca="false">J103</f>
        <v>1</v>
      </c>
      <c r="T103" s="1" t="n">
        <f aca="false">K103</f>
        <v>0</v>
      </c>
      <c r="U103" s="1" t="n">
        <f aca="false">L103</f>
        <v>0</v>
      </c>
      <c r="W103" s="1" t="n">
        <f aca="false">E103</f>
        <v>3642</v>
      </c>
      <c r="X103" s="1" t="n">
        <f aca="false">D103</f>
        <v>53084.76</v>
      </c>
      <c r="Y103" s="1" t="n">
        <f aca="false">G103</f>
        <v>91.4</v>
      </c>
      <c r="Z103" s="1" t="n">
        <f aca="false">F103</f>
        <v>0.15</v>
      </c>
      <c r="AA103" s="1" t="n">
        <f aca="false">H103</f>
        <v>4.4</v>
      </c>
      <c r="AB103" s="1" t="n">
        <f aca="false">J103</f>
        <v>1</v>
      </c>
      <c r="AC103" s="1" t="n">
        <f aca="false">K103</f>
        <v>0</v>
      </c>
      <c r="AD103" s="1" t="n">
        <f aca="false">L103</f>
        <v>0</v>
      </c>
    </row>
    <row r="104" customFormat="false" ht="15" hidden="false" customHeight="false" outlineLevel="0" collapsed="false">
      <c r="A104" s="5" t="s">
        <v>60</v>
      </c>
      <c r="B104" s="5" t="s">
        <v>28</v>
      </c>
      <c r="C104" s="5" t="s">
        <v>41</v>
      </c>
      <c r="D104" s="5" t="n">
        <v>63101.59</v>
      </c>
      <c r="E104" s="5" t="n">
        <v>4373</v>
      </c>
      <c r="F104" s="5" t="n">
        <v>0.173</v>
      </c>
      <c r="G104" s="5" t="n">
        <v>90.4</v>
      </c>
      <c r="H104" s="5" t="n">
        <v>4.7</v>
      </c>
      <c r="I104" s="5" t="n">
        <v>586626.94</v>
      </c>
      <c r="J104" s="5" t="n">
        <v>1</v>
      </c>
      <c r="K104" s="5" t="n">
        <v>0</v>
      </c>
      <c r="L104" s="5" t="n">
        <v>0</v>
      </c>
      <c r="P104" s="1" t="n">
        <f aca="false">E104</f>
        <v>4373</v>
      </c>
      <c r="Q104" s="1" t="n">
        <f aca="false">D104</f>
        <v>63101.59</v>
      </c>
      <c r="R104" s="1" t="n">
        <f aca="false">G104</f>
        <v>90.4</v>
      </c>
      <c r="S104" s="1" t="n">
        <f aca="false">J104</f>
        <v>1</v>
      </c>
      <c r="T104" s="1" t="n">
        <f aca="false">K104</f>
        <v>0</v>
      </c>
      <c r="U104" s="1" t="n">
        <f aca="false">L104</f>
        <v>0</v>
      </c>
      <c r="W104" s="1" t="n">
        <f aca="false">E104</f>
        <v>4373</v>
      </c>
      <c r="X104" s="1" t="n">
        <f aca="false">D104</f>
        <v>63101.59</v>
      </c>
      <c r="Y104" s="1" t="n">
        <f aca="false">G104</f>
        <v>90.4</v>
      </c>
      <c r="Z104" s="1" t="n">
        <f aca="false">F104</f>
        <v>0.173</v>
      </c>
      <c r="AA104" s="1" t="n">
        <f aca="false">H104</f>
        <v>4.7</v>
      </c>
      <c r="AB104" s="1" t="n">
        <f aca="false">J104</f>
        <v>1</v>
      </c>
      <c r="AC104" s="1" t="n">
        <f aca="false">K104</f>
        <v>0</v>
      </c>
      <c r="AD104" s="1" t="n">
        <f aca="false">L104</f>
        <v>0</v>
      </c>
    </row>
    <row r="105" customFormat="false" ht="15" hidden="false" customHeight="false" outlineLevel="0" collapsed="false">
      <c r="A105" s="5" t="s">
        <v>60</v>
      </c>
      <c r="B105" s="5" t="s">
        <v>28</v>
      </c>
      <c r="C105" s="5" t="s">
        <v>41</v>
      </c>
      <c r="D105" s="5" t="n">
        <v>90084.4</v>
      </c>
      <c r="E105" s="5" t="n">
        <v>6832</v>
      </c>
      <c r="F105" s="5" t="n">
        <v>0.185</v>
      </c>
      <c r="G105" s="5" t="n">
        <v>80.5</v>
      </c>
      <c r="H105" s="5" t="n">
        <v>4.4</v>
      </c>
      <c r="I105" s="5" t="n">
        <v>740102.64</v>
      </c>
      <c r="J105" s="5" t="n">
        <v>1</v>
      </c>
      <c r="K105" s="5" t="n">
        <v>0</v>
      </c>
      <c r="L105" s="5" t="n">
        <v>0</v>
      </c>
      <c r="P105" s="1" t="n">
        <f aca="false">E105</f>
        <v>6832</v>
      </c>
      <c r="Q105" s="1" t="n">
        <f aca="false">D105</f>
        <v>90084.4</v>
      </c>
      <c r="R105" s="1" t="n">
        <f aca="false">G105</f>
        <v>80.5</v>
      </c>
      <c r="S105" s="1" t="n">
        <f aca="false">J105</f>
        <v>1</v>
      </c>
      <c r="T105" s="1" t="n">
        <f aca="false">K105</f>
        <v>0</v>
      </c>
      <c r="U105" s="1" t="n">
        <f aca="false">L105</f>
        <v>0</v>
      </c>
      <c r="W105" s="1" t="n">
        <f aca="false">E105</f>
        <v>6832</v>
      </c>
      <c r="X105" s="1" t="n">
        <f aca="false">D105</f>
        <v>90084.4</v>
      </c>
      <c r="Y105" s="1" t="n">
        <f aca="false">G105</f>
        <v>80.5</v>
      </c>
      <c r="Z105" s="1" t="n">
        <f aca="false">F105</f>
        <v>0.185</v>
      </c>
      <c r="AA105" s="1" t="n">
        <f aca="false">H105</f>
        <v>4.4</v>
      </c>
      <c r="AB105" s="1" t="n">
        <f aca="false">J105</f>
        <v>1</v>
      </c>
      <c r="AC105" s="1" t="n">
        <f aca="false">K105</f>
        <v>0</v>
      </c>
      <c r="AD105" s="1" t="n">
        <f aca="false">L105</f>
        <v>0</v>
      </c>
    </row>
    <row r="106" customFormat="false" ht="15" hidden="false" customHeight="false" outlineLevel="0" collapsed="false">
      <c r="A106" s="5" t="s">
        <v>60</v>
      </c>
      <c r="B106" s="5" t="s">
        <v>28</v>
      </c>
      <c r="C106" s="5" t="s">
        <v>41</v>
      </c>
      <c r="D106" s="5" t="n">
        <v>32266.64</v>
      </c>
      <c r="E106" s="5" t="n">
        <v>2414</v>
      </c>
      <c r="F106" s="5" t="n">
        <v>0.08</v>
      </c>
      <c r="G106" s="5" t="n">
        <v>92.1</v>
      </c>
      <c r="H106" s="5" t="n">
        <v>5</v>
      </c>
      <c r="I106" s="5" t="n">
        <v>625514.04</v>
      </c>
      <c r="J106" s="5" t="n">
        <v>1</v>
      </c>
      <c r="K106" s="5" t="n">
        <v>0</v>
      </c>
      <c r="L106" s="5" t="n">
        <v>0</v>
      </c>
      <c r="P106" s="1" t="n">
        <f aca="false">E106</f>
        <v>2414</v>
      </c>
      <c r="Q106" s="1" t="n">
        <f aca="false">D106</f>
        <v>32266.64</v>
      </c>
      <c r="R106" s="1" t="n">
        <f aca="false">G106</f>
        <v>92.1</v>
      </c>
      <c r="S106" s="1" t="n">
        <f aca="false">J106</f>
        <v>1</v>
      </c>
      <c r="T106" s="1" t="n">
        <f aca="false">K106</f>
        <v>0</v>
      </c>
      <c r="U106" s="1" t="n">
        <f aca="false">L106</f>
        <v>0</v>
      </c>
      <c r="W106" s="1" t="n">
        <f aca="false">E106</f>
        <v>2414</v>
      </c>
      <c r="X106" s="1" t="n">
        <f aca="false">D106</f>
        <v>32266.64</v>
      </c>
      <c r="Y106" s="1" t="n">
        <f aca="false">G106</f>
        <v>92.1</v>
      </c>
      <c r="Z106" s="1" t="n">
        <f aca="false">F106</f>
        <v>0.08</v>
      </c>
      <c r="AA106" s="1" t="n">
        <f aca="false">H106</f>
        <v>5</v>
      </c>
      <c r="AB106" s="1" t="n">
        <f aca="false">J106</f>
        <v>1</v>
      </c>
      <c r="AC106" s="1" t="n">
        <f aca="false">K106</f>
        <v>0</v>
      </c>
      <c r="AD106" s="1" t="n">
        <f aca="false">L106</f>
        <v>0</v>
      </c>
    </row>
    <row r="107" customFormat="false" ht="15" hidden="false" customHeight="false" outlineLevel="0" collapsed="false">
      <c r="A107" s="5" t="s">
        <v>61</v>
      </c>
      <c r="B107" s="5" t="s">
        <v>40</v>
      </c>
      <c r="C107" s="5" t="s">
        <v>31</v>
      </c>
      <c r="D107" s="5" t="n">
        <v>57919.07</v>
      </c>
      <c r="E107" s="5" t="n">
        <v>7374</v>
      </c>
      <c r="F107" s="5" t="n">
        <v>0.103</v>
      </c>
      <c r="G107" s="5" t="n">
        <v>82.3</v>
      </c>
      <c r="H107" s="5" t="n">
        <v>2.9</v>
      </c>
      <c r="I107" s="5" t="n">
        <v>727227.2</v>
      </c>
      <c r="J107" s="5" t="n">
        <v>0</v>
      </c>
      <c r="K107" s="5" t="n">
        <v>0</v>
      </c>
      <c r="L107" s="5" t="n">
        <v>0</v>
      </c>
      <c r="P107" s="1" t="n">
        <f aca="false">E107</f>
        <v>7374</v>
      </c>
      <c r="Q107" s="1" t="n">
        <f aca="false">D107</f>
        <v>57919.07</v>
      </c>
      <c r="R107" s="1" t="n">
        <f aca="false">G107</f>
        <v>82.3</v>
      </c>
      <c r="S107" s="1" t="n">
        <f aca="false">J107</f>
        <v>0</v>
      </c>
      <c r="T107" s="1" t="n">
        <f aca="false">K107</f>
        <v>0</v>
      </c>
      <c r="U107" s="1" t="n">
        <f aca="false">L107</f>
        <v>0</v>
      </c>
      <c r="W107" s="1" t="n">
        <f aca="false">E107</f>
        <v>7374</v>
      </c>
      <c r="X107" s="1" t="n">
        <f aca="false">D107</f>
        <v>57919.07</v>
      </c>
      <c r="Y107" s="1" t="n">
        <f aca="false">G107</f>
        <v>82.3</v>
      </c>
      <c r="Z107" s="1" t="n">
        <f aca="false">F107</f>
        <v>0.103</v>
      </c>
      <c r="AA107" s="1" t="n">
        <f aca="false">H107</f>
        <v>2.9</v>
      </c>
      <c r="AB107" s="1" t="n">
        <f aca="false">J107</f>
        <v>0</v>
      </c>
      <c r="AC107" s="1" t="n">
        <f aca="false">K107</f>
        <v>0</v>
      </c>
      <c r="AD107" s="1" t="n">
        <f aca="false">L107</f>
        <v>0</v>
      </c>
    </row>
    <row r="108" customFormat="false" ht="15" hidden="false" customHeight="false" outlineLevel="0" collapsed="false">
      <c r="A108" s="5" t="s">
        <v>61</v>
      </c>
      <c r="B108" s="5" t="s">
        <v>40</v>
      </c>
      <c r="C108" s="5" t="s">
        <v>31</v>
      </c>
      <c r="D108" s="5" t="n">
        <v>74679.35</v>
      </c>
      <c r="E108" s="5" t="n">
        <v>8739</v>
      </c>
      <c r="F108" s="5" t="n">
        <v>0.056</v>
      </c>
      <c r="G108" s="5" t="n">
        <v>91.8</v>
      </c>
      <c r="H108" s="5" t="n">
        <v>3</v>
      </c>
      <c r="I108" s="5" t="n">
        <v>783797.89</v>
      </c>
      <c r="J108" s="5" t="n">
        <v>0</v>
      </c>
      <c r="K108" s="5" t="n">
        <v>0</v>
      </c>
      <c r="L108" s="5" t="n">
        <v>0</v>
      </c>
      <c r="P108" s="1" t="n">
        <f aca="false">E108</f>
        <v>8739</v>
      </c>
      <c r="Q108" s="1" t="n">
        <f aca="false">D108</f>
        <v>74679.35</v>
      </c>
      <c r="R108" s="1" t="n">
        <f aca="false">G108</f>
        <v>91.8</v>
      </c>
      <c r="S108" s="1" t="n">
        <f aca="false">J108</f>
        <v>0</v>
      </c>
      <c r="T108" s="1" t="n">
        <f aca="false">K108</f>
        <v>0</v>
      </c>
      <c r="U108" s="1" t="n">
        <f aca="false">L108</f>
        <v>0</v>
      </c>
      <c r="W108" s="1" t="n">
        <f aca="false">E108</f>
        <v>8739</v>
      </c>
      <c r="X108" s="1" t="n">
        <f aca="false">D108</f>
        <v>74679.35</v>
      </c>
      <c r="Y108" s="1" t="n">
        <f aca="false">G108</f>
        <v>91.8</v>
      </c>
      <c r="Z108" s="1" t="n">
        <f aca="false">F108</f>
        <v>0.056</v>
      </c>
      <c r="AA108" s="1" t="n">
        <f aca="false">H108</f>
        <v>3</v>
      </c>
      <c r="AB108" s="1" t="n">
        <f aca="false">J108</f>
        <v>0</v>
      </c>
      <c r="AC108" s="1" t="n">
        <f aca="false">K108</f>
        <v>0</v>
      </c>
      <c r="AD108" s="1" t="n">
        <f aca="false">L108</f>
        <v>0</v>
      </c>
    </row>
    <row r="109" customFormat="false" ht="15" hidden="false" customHeight="false" outlineLevel="0" collapsed="false">
      <c r="A109" s="5" t="s">
        <v>61</v>
      </c>
      <c r="B109" s="5" t="s">
        <v>40</v>
      </c>
      <c r="C109" s="5" t="s">
        <v>31</v>
      </c>
      <c r="D109" s="5" t="n">
        <v>64294.23</v>
      </c>
      <c r="E109" s="5" t="n">
        <v>6992</v>
      </c>
      <c r="F109" s="5" t="n">
        <v>0.133</v>
      </c>
      <c r="G109" s="5" t="n">
        <v>94.1</v>
      </c>
      <c r="H109" s="5" t="n">
        <v>3</v>
      </c>
      <c r="I109" s="5" t="n">
        <v>795153.84</v>
      </c>
      <c r="J109" s="5" t="n">
        <v>0</v>
      </c>
      <c r="K109" s="5" t="n">
        <v>0</v>
      </c>
      <c r="L109" s="5" t="n">
        <v>0</v>
      </c>
      <c r="P109" s="1" t="n">
        <f aca="false">E109</f>
        <v>6992</v>
      </c>
      <c r="Q109" s="1" t="n">
        <f aca="false">D109</f>
        <v>64294.23</v>
      </c>
      <c r="R109" s="1" t="n">
        <f aca="false">G109</f>
        <v>94.1</v>
      </c>
      <c r="S109" s="1" t="n">
        <f aca="false">J109</f>
        <v>0</v>
      </c>
      <c r="T109" s="1" t="n">
        <f aca="false">K109</f>
        <v>0</v>
      </c>
      <c r="U109" s="1" t="n">
        <f aca="false">L109</f>
        <v>0</v>
      </c>
      <c r="W109" s="1" t="n">
        <f aca="false">E109</f>
        <v>6992</v>
      </c>
      <c r="X109" s="1" t="n">
        <f aca="false">D109</f>
        <v>64294.23</v>
      </c>
      <c r="Y109" s="1" t="n">
        <f aca="false">G109</f>
        <v>94.1</v>
      </c>
      <c r="Z109" s="1" t="n">
        <f aca="false">F109</f>
        <v>0.133</v>
      </c>
      <c r="AA109" s="1" t="n">
        <f aca="false">H109</f>
        <v>3</v>
      </c>
      <c r="AB109" s="1" t="n">
        <f aca="false">J109</f>
        <v>0</v>
      </c>
      <c r="AC109" s="1" t="n">
        <f aca="false">K109</f>
        <v>0</v>
      </c>
      <c r="AD109" s="1" t="n">
        <f aca="false">L109</f>
        <v>0</v>
      </c>
    </row>
    <row r="110" customFormat="false" ht="15" hidden="false" customHeight="false" outlineLevel="0" collapsed="false">
      <c r="A110" s="5" t="s">
        <v>61</v>
      </c>
      <c r="B110" s="5" t="s">
        <v>40</v>
      </c>
      <c r="C110" s="5" t="s">
        <v>31</v>
      </c>
      <c r="D110" s="5" t="n">
        <v>31042.03</v>
      </c>
      <c r="E110" s="5" t="n">
        <v>7107</v>
      </c>
      <c r="F110" s="5" t="n">
        <v>0.051</v>
      </c>
      <c r="G110" s="5" t="n">
        <v>87</v>
      </c>
      <c r="H110" s="5" t="n">
        <v>3.2</v>
      </c>
      <c r="I110" s="5" t="n">
        <v>665594.94</v>
      </c>
      <c r="J110" s="5" t="n">
        <v>0</v>
      </c>
      <c r="K110" s="5" t="n">
        <v>0</v>
      </c>
      <c r="L110" s="5" t="n">
        <v>0</v>
      </c>
      <c r="P110" s="1" t="n">
        <f aca="false">E110</f>
        <v>7107</v>
      </c>
      <c r="Q110" s="1" t="n">
        <f aca="false">D110</f>
        <v>31042.03</v>
      </c>
      <c r="R110" s="1" t="n">
        <f aca="false">G110</f>
        <v>87</v>
      </c>
      <c r="S110" s="1" t="n">
        <f aca="false">J110</f>
        <v>0</v>
      </c>
      <c r="T110" s="1" t="n">
        <f aca="false">K110</f>
        <v>0</v>
      </c>
      <c r="U110" s="1" t="n">
        <f aca="false">L110</f>
        <v>0</v>
      </c>
      <c r="W110" s="1" t="n">
        <f aca="false">E110</f>
        <v>7107</v>
      </c>
      <c r="X110" s="1" t="n">
        <f aca="false">D110</f>
        <v>31042.03</v>
      </c>
      <c r="Y110" s="1" t="n">
        <f aca="false">G110</f>
        <v>87</v>
      </c>
      <c r="Z110" s="1" t="n">
        <f aca="false">F110</f>
        <v>0.051</v>
      </c>
      <c r="AA110" s="1" t="n">
        <f aca="false">H110</f>
        <v>3.2</v>
      </c>
      <c r="AB110" s="1" t="n">
        <f aca="false">J110</f>
        <v>0</v>
      </c>
      <c r="AC110" s="1" t="n">
        <f aca="false">K110</f>
        <v>0</v>
      </c>
      <c r="AD110" s="1" t="n">
        <f aca="false">L110</f>
        <v>0</v>
      </c>
    </row>
    <row r="111" customFormat="false" ht="15" hidden="false" customHeight="false" outlineLevel="0" collapsed="false">
      <c r="A111" s="5" t="s">
        <v>62</v>
      </c>
      <c r="B111" s="5" t="s">
        <v>28</v>
      </c>
      <c r="C111" s="5" t="s">
        <v>41</v>
      </c>
      <c r="D111" s="5" t="n">
        <v>75265.02</v>
      </c>
      <c r="E111" s="5" t="n">
        <v>6975</v>
      </c>
      <c r="F111" s="5" t="n">
        <v>0.157</v>
      </c>
      <c r="G111" s="5" t="n">
        <v>73.8</v>
      </c>
      <c r="H111" s="5" t="n">
        <v>3.8</v>
      </c>
      <c r="I111" s="5" t="n">
        <v>709478.39</v>
      </c>
      <c r="J111" s="5" t="n">
        <v>1</v>
      </c>
      <c r="K111" s="5" t="n">
        <v>0</v>
      </c>
      <c r="L111" s="5" t="n">
        <v>0</v>
      </c>
      <c r="P111" s="1" t="n">
        <f aca="false">E111</f>
        <v>6975</v>
      </c>
      <c r="Q111" s="1" t="n">
        <f aca="false">D111</f>
        <v>75265.02</v>
      </c>
      <c r="R111" s="1" t="n">
        <f aca="false">G111</f>
        <v>73.8</v>
      </c>
      <c r="S111" s="1" t="n">
        <f aca="false">J111</f>
        <v>1</v>
      </c>
      <c r="T111" s="1" t="n">
        <f aca="false">K111</f>
        <v>0</v>
      </c>
      <c r="U111" s="1" t="n">
        <f aca="false">L111</f>
        <v>0</v>
      </c>
      <c r="W111" s="1" t="n">
        <f aca="false">E111</f>
        <v>6975</v>
      </c>
      <c r="X111" s="1" t="n">
        <f aca="false">D111</f>
        <v>75265.02</v>
      </c>
      <c r="Y111" s="1" t="n">
        <f aca="false">G111</f>
        <v>73.8</v>
      </c>
      <c r="Z111" s="1" t="n">
        <f aca="false">F111</f>
        <v>0.157</v>
      </c>
      <c r="AA111" s="1" t="n">
        <f aca="false">H111</f>
        <v>3.8</v>
      </c>
      <c r="AB111" s="1" t="n">
        <f aca="false">J111</f>
        <v>1</v>
      </c>
      <c r="AC111" s="1" t="n">
        <f aca="false">K111</f>
        <v>0</v>
      </c>
      <c r="AD111" s="1" t="n">
        <f aca="false">L111</f>
        <v>0</v>
      </c>
    </row>
    <row r="112" customFormat="false" ht="15" hidden="false" customHeight="false" outlineLevel="0" collapsed="false">
      <c r="A112" s="5" t="s">
        <v>62</v>
      </c>
      <c r="B112" s="5" t="s">
        <v>28</v>
      </c>
      <c r="C112" s="5" t="s">
        <v>41</v>
      </c>
      <c r="D112" s="5" t="n">
        <v>69411.7</v>
      </c>
      <c r="E112" s="5" t="n">
        <v>5493</v>
      </c>
      <c r="F112" s="5" t="n">
        <v>0.292</v>
      </c>
      <c r="G112" s="5" t="n">
        <v>86.5</v>
      </c>
      <c r="H112" s="5" t="n">
        <v>3.8</v>
      </c>
      <c r="I112" s="5" t="n">
        <v>664162.49</v>
      </c>
      <c r="J112" s="5" t="n">
        <v>1</v>
      </c>
      <c r="K112" s="5" t="n">
        <v>0</v>
      </c>
      <c r="L112" s="5" t="n">
        <v>0</v>
      </c>
      <c r="P112" s="1" t="n">
        <f aca="false">E112</f>
        <v>5493</v>
      </c>
      <c r="Q112" s="1" t="n">
        <f aca="false">D112</f>
        <v>69411.7</v>
      </c>
      <c r="R112" s="1" t="n">
        <f aca="false">G112</f>
        <v>86.5</v>
      </c>
      <c r="S112" s="1" t="n">
        <f aca="false">J112</f>
        <v>1</v>
      </c>
      <c r="T112" s="1" t="n">
        <f aca="false">K112</f>
        <v>0</v>
      </c>
      <c r="U112" s="1" t="n">
        <f aca="false">L112</f>
        <v>0</v>
      </c>
      <c r="W112" s="1" t="n">
        <f aca="false">E112</f>
        <v>5493</v>
      </c>
      <c r="X112" s="1" t="n">
        <f aca="false">D112</f>
        <v>69411.7</v>
      </c>
      <c r="Y112" s="1" t="n">
        <f aca="false">G112</f>
        <v>86.5</v>
      </c>
      <c r="Z112" s="1" t="n">
        <f aca="false">F112</f>
        <v>0.292</v>
      </c>
      <c r="AA112" s="1" t="n">
        <f aca="false">H112</f>
        <v>3.8</v>
      </c>
      <c r="AB112" s="1" t="n">
        <f aca="false">J112</f>
        <v>1</v>
      </c>
      <c r="AC112" s="1" t="n">
        <f aca="false">K112</f>
        <v>0</v>
      </c>
      <c r="AD112" s="1" t="n">
        <f aca="false">L112</f>
        <v>0</v>
      </c>
    </row>
    <row r="113" customFormat="false" ht="15" hidden="false" customHeight="false" outlineLevel="0" collapsed="false">
      <c r="A113" s="5" t="s">
        <v>62</v>
      </c>
      <c r="B113" s="5" t="s">
        <v>28</v>
      </c>
      <c r="C113" s="5" t="s">
        <v>41</v>
      </c>
      <c r="D113" s="5" t="n">
        <v>51056.15</v>
      </c>
      <c r="E113" s="5" t="n">
        <v>5686</v>
      </c>
      <c r="F113" s="5" t="n">
        <v>0.089</v>
      </c>
      <c r="G113" s="5" t="n">
        <v>89.9</v>
      </c>
      <c r="H113" s="5" t="n">
        <v>4.2</v>
      </c>
      <c r="I113" s="5" t="n">
        <v>633494.21</v>
      </c>
      <c r="J113" s="5" t="n">
        <v>1</v>
      </c>
      <c r="K113" s="5" t="n">
        <v>0</v>
      </c>
      <c r="L113" s="5" t="n">
        <v>0</v>
      </c>
      <c r="P113" s="1" t="n">
        <f aca="false">E113</f>
        <v>5686</v>
      </c>
      <c r="Q113" s="1" t="n">
        <f aca="false">D113</f>
        <v>51056.15</v>
      </c>
      <c r="R113" s="1" t="n">
        <f aca="false">G113</f>
        <v>89.9</v>
      </c>
      <c r="S113" s="1" t="n">
        <f aca="false">J113</f>
        <v>1</v>
      </c>
      <c r="T113" s="1" t="n">
        <f aca="false">K113</f>
        <v>0</v>
      </c>
      <c r="U113" s="1" t="n">
        <f aca="false">L113</f>
        <v>0</v>
      </c>
      <c r="W113" s="1" t="n">
        <f aca="false">E113</f>
        <v>5686</v>
      </c>
      <c r="X113" s="1" t="n">
        <f aca="false">D113</f>
        <v>51056.15</v>
      </c>
      <c r="Y113" s="1" t="n">
        <f aca="false">G113</f>
        <v>89.9</v>
      </c>
      <c r="Z113" s="1" t="n">
        <f aca="false">F113</f>
        <v>0.089</v>
      </c>
      <c r="AA113" s="1" t="n">
        <f aca="false">H113</f>
        <v>4.2</v>
      </c>
      <c r="AB113" s="1" t="n">
        <f aca="false">J113</f>
        <v>1</v>
      </c>
      <c r="AC113" s="1" t="n">
        <f aca="false">K113</f>
        <v>0</v>
      </c>
      <c r="AD113" s="1" t="n">
        <f aca="false">L113</f>
        <v>0</v>
      </c>
    </row>
    <row r="114" customFormat="false" ht="15" hidden="false" customHeight="false" outlineLevel="0" collapsed="false">
      <c r="A114" s="5" t="s">
        <v>62</v>
      </c>
      <c r="B114" s="5" t="s">
        <v>28</v>
      </c>
      <c r="C114" s="5" t="s">
        <v>41</v>
      </c>
      <c r="D114" s="5" t="n">
        <v>52758.01</v>
      </c>
      <c r="E114" s="5" t="n">
        <v>4063</v>
      </c>
      <c r="F114" s="5" t="n">
        <v>0.057</v>
      </c>
      <c r="G114" s="5" t="n">
        <v>91.7</v>
      </c>
      <c r="H114" s="5" t="n">
        <v>3.5</v>
      </c>
      <c r="I114" s="5" t="n">
        <v>713611.16</v>
      </c>
      <c r="J114" s="5" t="n">
        <v>1</v>
      </c>
      <c r="K114" s="5" t="n">
        <v>0</v>
      </c>
      <c r="L114" s="5" t="n">
        <v>0</v>
      </c>
      <c r="P114" s="1" t="n">
        <f aca="false">E114</f>
        <v>4063</v>
      </c>
      <c r="Q114" s="1" t="n">
        <f aca="false">D114</f>
        <v>52758.01</v>
      </c>
      <c r="R114" s="1" t="n">
        <f aca="false">G114</f>
        <v>91.7</v>
      </c>
      <c r="S114" s="1" t="n">
        <f aca="false">J114</f>
        <v>1</v>
      </c>
      <c r="T114" s="1" t="n">
        <f aca="false">K114</f>
        <v>0</v>
      </c>
      <c r="U114" s="1" t="n">
        <f aca="false">L114</f>
        <v>0</v>
      </c>
      <c r="W114" s="1" t="n">
        <f aca="false">E114</f>
        <v>4063</v>
      </c>
      <c r="X114" s="1" t="n">
        <f aca="false">D114</f>
        <v>52758.01</v>
      </c>
      <c r="Y114" s="1" t="n">
        <f aca="false">G114</f>
        <v>91.7</v>
      </c>
      <c r="Z114" s="1" t="n">
        <f aca="false">F114</f>
        <v>0.057</v>
      </c>
      <c r="AA114" s="1" t="n">
        <f aca="false">H114</f>
        <v>3.5</v>
      </c>
      <c r="AB114" s="1" t="n">
        <f aca="false">J114</f>
        <v>1</v>
      </c>
      <c r="AC114" s="1" t="n">
        <f aca="false">K114</f>
        <v>0</v>
      </c>
      <c r="AD114" s="1" t="n">
        <f aca="false">L114</f>
        <v>0</v>
      </c>
    </row>
    <row r="115" customFormat="false" ht="15" hidden="false" customHeight="false" outlineLevel="0" collapsed="false">
      <c r="A115" s="5" t="s">
        <v>63</v>
      </c>
      <c r="B115" s="5" t="s">
        <v>40</v>
      </c>
      <c r="C115" s="5" t="s">
        <v>41</v>
      </c>
      <c r="D115" s="5" t="n">
        <v>61426.04</v>
      </c>
      <c r="E115" s="5" t="n">
        <v>8966</v>
      </c>
      <c r="F115" s="5" t="n">
        <v>0.173</v>
      </c>
      <c r="G115" s="5" t="n">
        <v>76.4</v>
      </c>
      <c r="H115" s="5" t="n">
        <v>3.1</v>
      </c>
      <c r="I115" s="5" t="n">
        <v>778397.97</v>
      </c>
      <c r="J115" s="5" t="n">
        <v>1</v>
      </c>
      <c r="K115" s="5" t="n">
        <v>0</v>
      </c>
      <c r="L115" s="5" t="n">
        <v>0</v>
      </c>
      <c r="P115" s="1" t="n">
        <f aca="false">E115</f>
        <v>8966</v>
      </c>
      <c r="Q115" s="1" t="n">
        <f aca="false">D115</f>
        <v>61426.04</v>
      </c>
      <c r="R115" s="1" t="n">
        <f aca="false">G115</f>
        <v>76.4</v>
      </c>
      <c r="S115" s="1" t="n">
        <f aca="false">J115</f>
        <v>1</v>
      </c>
      <c r="T115" s="1" t="n">
        <f aca="false">K115</f>
        <v>0</v>
      </c>
      <c r="U115" s="1" t="n">
        <f aca="false">L115</f>
        <v>0</v>
      </c>
      <c r="W115" s="1" t="n">
        <f aca="false">E115</f>
        <v>8966</v>
      </c>
      <c r="X115" s="1" t="n">
        <f aca="false">D115</f>
        <v>61426.04</v>
      </c>
      <c r="Y115" s="1" t="n">
        <f aca="false">G115</f>
        <v>76.4</v>
      </c>
      <c r="Z115" s="1" t="n">
        <f aca="false">F115</f>
        <v>0.173</v>
      </c>
      <c r="AA115" s="1" t="n">
        <f aca="false">H115</f>
        <v>3.1</v>
      </c>
      <c r="AB115" s="1" t="n">
        <f aca="false">J115</f>
        <v>1</v>
      </c>
      <c r="AC115" s="1" t="n">
        <f aca="false">K115</f>
        <v>0</v>
      </c>
      <c r="AD115" s="1" t="n">
        <f aca="false">L115</f>
        <v>0</v>
      </c>
    </row>
    <row r="116" customFormat="false" ht="15" hidden="false" customHeight="false" outlineLevel="0" collapsed="false">
      <c r="A116" s="5" t="s">
        <v>63</v>
      </c>
      <c r="B116" s="5" t="s">
        <v>40</v>
      </c>
      <c r="C116" s="5" t="s">
        <v>41</v>
      </c>
      <c r="D116" s="5" t="n">
        <v>80176.34</v>
      </c>
      <c r="E116" s="5" t="n">
        <v>9489</v>
      </c>
      <c r="F116" s="5" t="n">
        <v>0.142</v>
      </c>
      <c r="G116" s="5" t="n">
        <v>94.3</v>
      </c>
      <c r="H116" s="5" t="n">
        <v>3.5</v>
      </c>
      <c r="I116" s="5" t="n">
        <v>873380.02</v>
      </c>
      <c r="J116" s="5" t="n">
        <v>1</v>
      </c>
      <c r="K116" s="5" t="n">
        <v>0</v>
      </c>
      <c r="L116" s="5" t="n">
        <v>0</v>
      </c>
      <c r="P116" s="1" t="n">
        <f aca="false">E116</f>
        <v>9489</v>
      </c>
      <c r="Q116" s="1" t="n">
        <f aca="false">D116</f>
        <v>80176.34</v>
      </c>
      <c r="R116" s="1" t="n">
        <f aca="false">G116</f>
        <v>94.3</v>
      </c>
      <c r="S116" s="1" t="n">
        <f aca="false">J116</f>
        <v>1</v>
      </c>
      <c r="T116" s="1" t="n">
        <f aca="false">K116</f>
        <v>0</v>
      </c>
      <c r="U116" s="1" t="n">
        <f aca="false">L116</f>
        <v>0</v>
      </c>
      <c r="W116" s="1" t="n">
        <f aca="false">E116</f>
        <v>9489</v>
      </c>
      <c r="X116" s="1" t="n">
        <f aca="false">D116</f>
        <v>80176.34</v>
      </c>
      <c r="Y116" s="1" t="n">
        <f aca="false">G116</f>
        <v>94.3</v>
      </c>
      <c r="Z116" s="1" t="n">
        <f aca="false">F116</f>
        <v>0.142</v>
      </c>
      <c r="AA116" s="1" t="n">
        <f aca="false">H116</f>
        <v>3.5</v>
      </c>
      <c r="AB116" s="1" t="n">
        <f aca="false">J116</f>
        <v>1</v>
      </c>
      <c r="AC116" s="1" t="n">
        <f aca="false">K116</f>
        <v>0</v>
      </c>
      <c r="AD116" s="1" t="n">
        <f aca="false">L116</f>
        <v>0</v>
      </c>
    </row>
    <row r="117" customFormat="false" ht="15" hidden="false" customHeight="false" outlineLevel="0" collapsed="false">
      <c r="A117" s="5" t="s">
        <v>63</v>
      </c>
      <c r="B117" s="5" t="s">
        <v>40</v>
      </c>
      <c r="C117" s="5" t="s">
        <v>41</v>
      </c>
      <c r="D117" s="5" t="n">
        <v>33605.18</v>
      </c>
      <c r="E117" s="5" t="n">
        <v>9225</v>
      </c>
      <c r="F117" s="5" t="n">
        <v>0.159</v>
      </c>
      <c r="G117" s="5" t="n">
        <v>88.4</v>
      </c>
      <c r="H117" s="5" t="n">
        <v>2.8</v>
      </c>
      <c r="I117" s="5" t="n">
        <v>697287.9</v>
      </c>
      <c r="J117" s="5" t="n">
        <v>1</v>
      </c>
      <c r="K117" s="5" t="n">
        <v>0</v>
      </c>
      <c r="L117" s="5" t="n">
        <v>0</v>
      </c>
      <c r="P117" s="1" t="n">
        <f aca="false">E117</f>
        <v>9225</v>
      </c>
      <c r="Q117" s="1" t="n">
        <f aca="false">D117</f>
        <v>33605.18</v>
      </c>
      <c r="R117" s="1" t="n">
        <f aca="false">G117</f>
        <v>88.4</v>
      </c>
      <c r="S117" s="1" t="n">
        <f aca="false">J117</f>
        <v>1</v>
      </c>
      <c r="T117" s="1" t="n">
        <f aca="false">K117</f>
        <v>0</v>
      </c>
      <c r="U117" s="1" t="n">
        <f aca="false">L117</f>
        <v>0</v>
      </c>
      <c r="W117" s="1" t="n">
        <f aca="false">E117</f>
        <v>9225</v>
      </c>
      <c r="X117" s="1" t="n">
        <f aca="false">D117</f>
        <v>33605.18</v>
      </c>
      <c r="Y117" s="1" t="n">
        <f aca="false">G117</f>
        <v>88.4</v>
      </c>
      <c r="Z117" s="1" t="n">
        <f aca="false">F117</f>
        <v>0.159</v>
      </c>
      <c r="AA117" s="1" t="n">
        <f aca="false">H117</f>
        <v>2.8</v>
      </c>
      <c r="AB117" s="1" t="n">
        <f aca="false">J117</f>
        <v>1</v>
      </c>
      <c r="AC117" s="1" t="n">
        <f aca="false">K117</f>
        <v>0</v>
      </c>
      <c r="AD117" s="1" t="n">
        <f aca="false">L117</f>
        <v>0</v>
      </c>
    </row>
    <row r="118" customFormat="false" ht="15" hidden="false" customHeight="false" outlineLevel="0" collapsed="false">
      <c r="A118" s="5" t="s">
        <v>63</v>
      </c>
      <c r="B118" s="5" t="s">
        <v>40</v>
      </c>
      <c r="C118" s="5" t="s">
        <v>41</v>
      </c>
      <c r="D118" s="5" t="n">
        <v>25990.54</v>
      </c>
      <c r="E118" s="5" t="n">
        <v>9249</v>
      </c>
      <c r="F118" s="5" t="n">
        <v>0.139</v>
      </c>
      <c r="G118" s="5" t="n">
        <v>92.5</v>
      </c>
      <c r="H118" s="5" t="n">
        <v>3.3</v>
      </c>
      <c r="I118" s="5" t="n">
        <v>718074.79</v>
      </c>
      <c r="J118" s="5" t="n">
        <v>1</v>
      </c>
      <c r="K118" s="5" t="n">
        <v>0</v>
      </c>
      <c r="L118" s="5" t="n">
        <v>0</v>
      </c>
      <c r="P118" s="1" t="n">
        <f aca="false">E118</f>
        <v>9249</v>
      </c>
      <c r="Q118" s="1" t="n">
        <f aca="false">D118</f>
        <v>25990.54</v>
      </c>
      <c r="R118" s="1" t="n">
        <f aca="false">G118</f>
        <v>92.5</v>
      </c>
      <c r="S118" s="1" t="n">
        <f aca="false">J118</f>
        <v>1</v>
      </c>
      <c r="T118" s="1" t="n">
        <f aca="false">K118</f>
        <v>0</v>
      </c>
      <c r="U118" s="1" t="n">
        <f aca="false">L118</f>
        <v>0</v>
      </c>
      <c r="W118" s="1" t="n">
        <f aca="false">E118</f>
        <v>9249</v>
      </c>
      <c r="X118" s="1" t="n">
        <f aca="false">D118</f>
        <v>25990.54</v>
      </c>
      <c r="Y118" s="1" t="n">
        <f aca="false">G118</f>
        <v>92.5</v>
      </c>
      <c r="Z118" s="1" t="n">
        <f aca="false">F118</f>
        <v>0.139</v>
      </c>
      <c r="AA118" s="1" t="n">
        <f aca="false">H118</f>
        <v>3.3</v>
      </c>
      <c r="AB118" s="1" t="n">
        <f aca="false">J118</f>
        <v>1</v>
      </c>
      <c r="AC118" s="1" t="n">
        <f aca="false">K118</f>
        <v>0</v>
      </c>
      <c r="AD118" s="1" t="n">
        <f aca="false">L118</f>
        <v>0</v>
      </c>
    </row>
    <row r="119" customFormat="false" ht="15" hidden="false" customHeight="false" outlineLevel="0" collapsed="false">
      <c r="A119" s="5" t="s">
        <v>64</v>
      </c>
      <c r="B119" s="5" t="s">
        <v>40</v>
      </c>
      <c r="C119" s="5" t="s">
        <v>29</v>
      </c>
      <c r="D119" s="5" t="n">
        <v>43685.14</v>
      </c>
      <c r="E119" s="5" t="n">
        <v>7821</v>
      </c>
      <c r="F119" s="5" t="n">
        <v>0.19</v>
      </c>
      <c r="G119" s="5" t="n">
        <v>91</v>
      </c>
      <c r="H119" s="5" t="n">
        <v>4.7</v>
      </c>
      <c r="I119" s="5" t="n">
        <v>714942.43</v>
      </c>
      <c r="J119" s="5" t="n">
        <v>0</v>
      </c>
      <c r="K119" s="5" t="n">
        <v>1</v>
      </c>
      <c r="L119" s="5" t="n">
        <v>0</v>
      </c>
      <c r="P119" s="1" t="n">
        <f aca="false">E119</f>
        <v>7821</v>
      </c>
      <c r="Q119" s="1" t="n">
        <f aca="false">D119</f>
        <v>43685.14</v>
      </c>
      <c r="R119" s="1" t="n">
        <f aca="false">G119</f>
        <v>91</v>
      </c>
      <c r="S119" s="1" t="n">
        <f aca="false">J119</f>
        <v>0</v>
      </c>
      <c r="T119" s="1" t="n">
        <f aca="false">K119</f>
        <v>1</v>
      </c>
      <c r="U119" s="1" t="n">
        <f aca="false">L119</f>
        <v>0</v>
      </c>
      <c r="W119" s="1" t="n">
        <f aca="false">E119</f>
        <v>7821</v>
      </c>
      <c r="X119" s="1" t="n">
        <f aca="false">D119</f>
        <v>43685.14</v>
      </c>
      <c r="Y119" s="1" t="n">
        <f aca="false">G119</f>
        <v>91</v>
      </c>
      <c r="Z119" s="1" t="n">
        <f aca="false">F119</f>
        <v>0.19</v>
      </c>
      <c r="AA119" s="1" t="n">
        <f aca="false">H119</f>
        <v>4.7</v>
      </c>
      <c r="AB119" s="1" t="n">
        <f aca="false">J119</f>
        <v>0</v>
      </c>
      <c r="AC119" s="1" t="n">
        <f aca="false">K119</f>
        <v>1</v>
      </c>
      <c r="AD119" s="1" t="n">
        <f aca="false">L119</f>
        <v>0</v>
      </c>
    </row>
    <row r="120" customFormat="false" ht="15" hidden="false" customHeight="false" outlineLevel="0" collapsed="false">
      <c r="A120" s="5" t="s">
        <v>64</v>
      </c>
      <c r="B120" s="5" t="s">
        <v>40</v>
      </c>
      <c r="C120" s="5" t="s">
        <v>29</v>
      </c>
      <c r="D120" s="5" t="n">
        <v>57360.01</v>
      </c>
      <c r="E120" s="5" t="n">
        <v>8434</v>
      </c>
      <c r="F120" s="5" t="n">
        <v>0.151</v>
      </c>
      <c r="G120" s="5" t="n">
        <v>84.1</v>
      </c>
      <c r="H120" s="5" t="n">
        <v>4.7</v>
      </c>
      <c r="I120" s="5" t="n">
        <v>820519.04</v>
      </c>
      <c r="J120" s="5" t="n">
        <v>0</v>
      </c>
      <c r="K120" s="5" t="n">
        <v>1</v>
      </c>
      <c r="L120" s="5" t="n">
        <v>0</v>
      </c>
      <c r="P120" s="1" t="n">
        <f aca="false">E120</f>
        <v>8434</v>
      </c>
      <c r="Q120" s="1" t="n">
        <f aca="false">D120</f>
        <v>57360.01</v>
      </c>
      <c r="R120" s="1" t="n">
        <f aca="false">G120</f>
        <v>84.1</v>
      </c>
      <c r="S120" s="1" t="n">
        <f aca="false">J120</f>
        <v>0</v>
      </c>
      <c r="T120" s="1" t="n">
        <f aca="false">K120</f>
        <v>1</v>
      </c>
      <c r="U120" s="1" t="n">
        <f aca="false">L120</f>
        <v>0</v>
      </c>
      <c r="W120" s="1" t="n">
        <f aca="false">E120</f>
        <v>8434</v>
      </c>
      <c r="X120" s="1" t="n">
        <f aca="false">D120</f>
        <v>57360.01</v>
      </c>
      <c r="Y120" s="1" t="n">
        <f aca="false">G120</f>
        <v>84.1</v>
      </c>
      <c r="Z120" s="1" t="n">
        <f aca="false">F120</f>
        <v>0.151</v>
      </c>
      <c r="AA120" s="1" t="n">
        <f aca="false">H120</f>
        <v>4.7</v>
      </c>
      <c r="AB120" s="1" t="n">
        <f aca="false">J120</f>
        <v>0</v>
      </c>
      <c r="AC120" s="1" t="n">
        <f aca="false">K120</f>
        <v>1</v>
      </c>
      <c r="AD120" s="1" t="n">
        <f aca="false">L120</f>
        <v>0</v>
      </c>
    </row>
    <row r="121" customFormat="false" ht="15" hidden="false" customHeight="false" outlineLevel="0" collapsed="false">
      <c r="A121" s="5" t="s">
        <v>64</v>
      </c>
      <c r="B121" s="5" t="s">
        <v>40</v>
      </c>
      <c r="C121" s="5" t="s">
        <v>29</v>
      </c>
      <c r="D121" s="5" t="n">
        <v>42415.47</v>
      </c>
      <c r="E121" s="5" t="n">
        <v>8512</v>
      </c>
      <c r="F121" s="5" t="n">
        <v>0.133</v>
      </c>
      <c r="G121" s="5" t="n">
        <v>96.8</v>
      </c>
      <c r="H121" s="5" t="n">
        <v>4.6</v>
      </c>
      <c r="I121" s="5" t="n">
        <v>684217.32</v>
      </c>
      <c r="J121" s="5" t="n">
        <v>0</v>
      </c>
      <c r="K121" s="5" t="n">
        <v>1</v>
      </c>
      <c r="L121" s="5" t="n">
        <v>0</v>
      </c>
      <c r="P121" s="1" t="n">
        <f aca="false">E121</f>
        <v>8512</v>
      </c>
      <c r="Q121" s="1" t="n">
        <f aca="false">D121</f>
        <v>42415.47</v>
      </c>
      <c r="R121" s="1" t="n">
        <f aca="false">G121</f>
        <v>96.8</v>
      </c>
      <c r="S121" s="1" t="n">
        <f aca="false">J121</f>
        <v>0</v>
      </c>
      <c r="T121" s="1" t="n">
        <f aca="false">K121</f>
        <v>1</v>
      </c>
      <c r="U121" s="1" t="n">
        <f aca="false">L121</f>
        <v>0</v>
      </c>
      <c r="W121" s="1" t="n">
        <f aca="false">E121</f>
        <v>8512</v>
      </c>
      <c r="X121" s="1" t="n">
        <f aca="false">D121</f>
        <v>42415.47</v>
      </c>
      <c r="Y121" s="1" t="n">
        <f aca="false">G121</f>
        <v>96.8</v>
      </c>
      <c r="Z121" s="1" t="n">
        <f aca="false">F121</f>
        <v>0.133</v>
      </c>
      <c r="AA121" s="1" t="n">
        <f aca="false">H121</f>
        <v>4.6</v>
      </c>
      <c r="AB121" s="1" t="n">
        <f aca="false">J121</f>
        <v>0</v>
      </c>
      <c r="AC121" s="1" t="n">
        <f aca="false">K121</f>
        <v>1</v>
      </c>
      <c r="AD121" s="1" t="n">
        <f aca="false">L121</f>
        <v>0</v>
      </c>
    </row>
    <row r="122" customFormat="false" ht="15" hidden="false" customHeight="false" outlineLevel="0" collapsed="false">
      <c r="A122" s="5" t="s">
        <v>64</v>
      </c>
      <c r="B122" s="5" t="s">
        <v>40</v>
      </c>
      <c r="C122" s="5" t="s">
        <v>29</v>
      </c>
      <c r="D122" s="5" t="n">
        <v>54968.98</v>
      </c>
      <c r="E122" s="5" t="n">
        <v>7816</v>
      </c>
      <c r="F122" s="5" t="n">
        <v>0.232</v>
      </c>
      <c r="G122" s="5" t="n">
        <v>95.7</v>
      </c>
      <c r="H122" s="5" t="n">
        <v>4.7</v>
      </c>
      <c r="I122" s="5" t="n">
        <v>735480.19</v>
      </c>
      <c r="J122" s="5" t="n">
        <v>0</v>
      </c>
      <c r="K122" s="5" t="n">
        <v>1</v>
      </c>
      <c r="L122" s="5" t="n">
        <v>0</v>
      </c>
      <c r="P122" s="1" t="n">
        <f aca="false">E122</f>
        <v>7816</v>
      </c>
      <c r="Q122" s="1" t="n">
        <f aca="false">D122</f>
        <v>54968.98</v>
      </c>
      <c r="R122" s="1" t="n">
        <f aca="false">G122</f>
        <v>95.7</v>
      </c>
      <c r="S122" s="1" t="n">
        <f aca="false">J122</f>
        <v>0</v>
      </c>
      <c r="T122" s="1" t="n">
        <f aca="false">K122</f>
        <v>1</v>
      </c>
      <c r="U122" s="1" t="n">
        <f aca="false">L122</f>
        <v>0</v>
      </c>
      <c r="W122" s="1" t="n">
        <f aca="false">E122</f>
        <v>7816</v>
      </c>
      <c r="X122" s="1" t="n">
        <f aca="false">D122</f>
        <v>54968.98</v>
      </c>
      <c r="Y122" s="1" t="n">
        <f aca="false">G122</f>
        <v>95.7</v>
      </c>
      <c r="Z122" s="1" t="n">
        <f aca="false">F122</f>
        <v>0.232</v>
      </c>
      <c r="AA122" s="1" t="n">
        <f aca="false">H122</f>
        <v>4.7</v>
      </c>
      <c r="AB122" s="1" t="n">
        <f aca="false">J122</f>
        <v>0</v>
      </c>
      <c r="AC122" s="1" t="n">
        <f aca="false">K122</f>
        <v>1</v>
      </c>
      <c r="AD122" s="1" t="n">
        <f aca="false">L122</f>
        <v>0</v>
      </c>
    </row>
    <row r="123" customFormat="false" ht="15" hidden="false" customHeight="false" outlineLevel="0" collapsed="false">
      <c r="A123" s="5" t="s">
        <v>65</v>
      </c>
      <c r="B123" s="5" t="s">
        <v>33</v>
      </c>
      <c r="C123" s="5" t="s">
        <v>31</v>
      </c>
      <c r="D123" s="5" t="n">
        <v>43896.13</v>
      </c>
      <c r="E123" s="5" t="n">
        <v>3853</v>
      </c>
      <c r="F123" s="5" t="n">
        <v>0.088</v>
      </c>
      <c r="G123" s="5" t="n">
        <v>83</v>
      </c>
      <c r="H123" s="5" t="n">
        <v>4.4</v>
      </c>
      <c r="I123" s="5" t="n">
        <v>509484.81</v>
      </c>
      <c r="J123" s="5" t="n">
        <v>0</v>
      </c>
      <c r="K123" s="5" t="n">
        <v>0</v>
      </c>
      <c r="L123" s="5" t="n">
        <v>0</v>
      </c>
      <c r="P123" s="1" t="n">
        <f aca="false">E123</f>
        <v>3853</v>
      </c>
      <c r="Q123" s="1" t="n">
        <f aca="false">D123</f>
        <v>43896.13</v>
      </c>
      <c r="R123" s="1" t="n">
        <f aca="false">G123</f>
        <v>83</v>
      </c>
      <c r="S123" s="1" t="n">
        <f aca="false">J123</f>
        <v>0</v>
      </c>
      <c r="T123" s="1" t="n">
        <f aca="false">K123</f>
        <v>0</v>
      </c>
      <c r="U123" s="1" t="n">
        <f aca="false">L123</f>
        <v>0</v>
      </c>
      <c r="W123" s="1" t="n">
        <f aca="false">E123</f>
        <v>3853</v>
      </c>
      <c r="X123" s="1" t="n">
        <f aca="false">D123</f>
        <v>43896.13</v>
      </c>
      <c r="Y123" s="1" t="n">
        <f aca="false">G123</f>
        <v>83</v>
      </c>
      <c r="Z123" s="1" t="n">
        <f aca="false">F123</f>
        <v>0.088</v>
      </c>
      <c r="AA123" s="1" t="n">
        <f aca="false">H123</f>
        <v>4.4</v>
      </c>
      <c r="AB123" s="1" t="n">
        <f aca="false">J123</f>
        <v>0</v>
      </c>
      <c r="AC123" s="1" t="n">
        <f aca="false">K123</f>
        <v>0</v>
      </c>
      <c r="AD123" s="1" t="n">
        <f aca="false">L123</f>
        <v>0</v>
      </c>
    </row>
    <row r="124" customFormat="false" ht="15" hidden="false" customHeight="false" outlineLevel="0" collapsed="false">
      <c r="A124" s="5" t="s">
        <v>65</v>
      </c>
      <c r="B124" s="5" t="s">
        <v>33</v>
      </c>
      <c r="C124" s="5" t="s">
        <v>31</v>
      </c>
      <c r="D124" s="5" t="n">
        <v>83044.17</v>
      </c>
      <c r="E124" s="5" t="n">
        <v>3694</v>
      </c>
      <c r="F124" s="5" t="n">
        <v>0</v>
      </c>
      <c r="G124" s="5" t="n">
        <v>89.4</v>
      </c>
      <c r="H124" s="5" t="n">
        <v>3.7</v>
      </c>
      <c r="I124" s="5" t="n">
        <v>654317.09</v>
      </c>
      <c r="J124" s="5" t="n">
        <v>0</v>
      </c>
      <c r="K124" s="5" t="n">
        <v>0</v>
      </c>
      <c r="L124" s="5" t="n">
        <v>0</v>
      </c>
      <c r="P124" s="1" t="n">
        <f aca="false">E124</f>
        <v>3694</v>
      </c>
      <c r="Q124" s="1" t="n">
        <f aca="false">D124</f>
        <v>83044.17</v>
      </c>
      <c r="R124" s="1" t="n">
        <f aca="false">G124</f>
        <v>89.4</v>
      </c>
      <c r="S124" s="1" t="n">
        <f aca="false">J124</f>
        <v>0</v>
      </c>
      <c r="T124" s="1" t="n">
        <f aca="false">K124</f>
        <v>0</v>
      </c>
      <c r="U124" s="1" t="n">
        <f aca="false">L124</f>
        <v>0</v>
      </c>
      <c r="W124" s="1" t="n">
        <f aca="false">E124</f>
        <v>3694</v>
      </c>
      <c r="X124" s="1" t="n">
        <f aca="false">D124</f>
        <v>83044.17</v>
      </c>
      <c r="Y124" s="1" t="n">
        <f aca="false">G124</f>
        <v>89.4</v>
      </c>
      <c r="Z124" s="1" t="n">
        <f aca="false">F124</f>
        <v>0</v>
      </c>
      <c r="AA124" s="1" t="n">
        <f aca="false">H124</f>
        <v>3.7</v>
      </c>
      <c r="AB124" s="1" t="n">
        <f aca="false">J124</f>
        <v>0</v>
      </c>
      <c r="AC124" s="1" t="n">
        <f aca="false">K124</f>
        <v>0</v>
      </c>
      <c r="AD124" s="1" t="n">
        <f aca="false">L124</f>
        <v>0</v>
      </c>
    </row>
    <row r="125" customFormat="false" ht="15" hidden="false" customHeight="false" outlineLevel="0" collapsed="false">
      <c r="A125" s="5" t="s">
        <v>65</v>
      </c>
      <c r="B125" s="5" t="s">
        <v>33</v>
      </c>
      <c r="C125" s="5" t="s">
        <v>31</v>
      </c>
      <c r="D125" s="5" t="n">
        <v>48396.13</v>
      </c>
      <c r="E125" s="5" t="n">
        <v>4423</v>
      </c>
      <c r="F125" s="5" t="n">
        <v>0.069</v>
      </c>
      <c r="G125" s="5" t="n">
        <v>85.7</v>
      </c>
      <c r="H125" s="5" t="n">
        <v>3.9</v>
      </c>
      <c r="I125" s="5" t="n">
        <v>557487.26</v>
      </c>
      <c r="J125" s="5" t="n">
        <v>0</v>
      </c>
      <c r="K125" s="5" t="n">
        <v>0</v>
      </c>
      <c r="L125" s="5" t="n">
        <v>0</v>
      </c>
      <c r="P125" s="1" t="n">
        <f aca="false">E125</f>
        <v>4423</v>
      </c>
      <c r="Q125" s="1" t="n">
        <f aca="false">D125</f>
        <v>48396.13</v>
      </c>
      <c r="R125" s="1" t="n">
        <f aca="false">G125</f>
        <v>85.7</v>
      </c>
      <c r="S125" s="1" t="n">
        <f aca="false">J125</f>
        <v>0</v>
      </c>
      <c r="T125" s="1" t="n">
        <f aca="false">K125</f>
        <v>0</v>
      </c>
      <c r="U125" s="1" t="n">
        <f aca="false">L125</f>
        <v>0</v>
      </c>
      <c r="W125" s="1" t="n">
        <f aca="false">E125</f>
        <v>4423</v>
      </c>
      <c r="X125" s="1" t="n">
        <f aca="false">D125</f>
        <v>48396.13</v>
      </c>
      <c r="Y125" s="1" t="n">
        <f aca="false">G125</f>
        <v>85.7</v>
      </c>
      <c r="Z125" s="1" t="n">
        <f aca="false">F125</f>
        <v>0.069</v>
      </c>
      <c r="AA125" s="1" t="n">
        <f aca="false">H125</f>
        <v>3.9</v>
      </c>
      <c r="AB125" s="1" t="n">
        <f aca="false">J125</f>
        <v>0</v>
      </c>
      <c r="AC125" s="1" t="n">
        <f aca="false">K125</f>
        <v>0</v>
      </c>
      <c r="AD125" s="1" t="n">
        <f aca="false">L125</f>
        <v>0</v>
      </c>
    </row>
    <row r="126" customFormat="false" ht="15" hidden="false" customHeight="false" outlineLevel="0" collapsed="false">
      <c r="A126" s="5" t="s">
        <v>65</v>
      </c>
      <c r="B126" s="5" t="s">
        <v>33</v>
      </c>
      <c r="C126" s="5" t="s">
        <v>31</v>
      </c>
      <c r="D126" s="5" t="n">
        <v>19063.48</v>
      </c>
      <c r="E126" s="5" t="n">
        <v>1906</v>
      </c>
      <c r="F126" s="5" t="n">
        <v>0.216</v>
      </c>
      <c r="G126" s="5" t="n">
        <v>97.8</v>
      </c>
      <c r="H126" s="5" t="n">
        <v>4.4</v>
      </c>
      <c r="I126" s="5" t="n">
        <v>441275.42</v>
      </c>
      <c r="J126" s="5" t="n">
        <v>0</v>
      </c>
      <c r="K126" s="5" t="n">
        <v>0</v>
      </c>
      <c r="L126" s="5" t="n">
        <v>0</v>
      </c>
      <c r="P126" s="1" t="n">
        <f aca="false">E126</f>
        <v>1906</v>
      </c>
      <c r="Q126" s="1" t="n">
        <f aca="false">D126</f>
        <v>19063.48</v>
      </c>
      <c r="R126" s="1" t="n">
        <f aca="false">G126</f>
        <v>97.8</v>
      </c>
      <c r="S126" s="1" t="n">
        <f aca="false">J126</f>
        <v>0</v>
      </c>
      <c r="T126" s="1" t="n">
        <f aca="false">K126</f>
        <v>0</v>
      </c>
      <c r="U126" s="1" t="n">
        <f aca="false">L126</f>
        <v>0</v>
      </c>
      <c r="W126" s="1" t="n">
        <f aca="false">E126</f>
        <v>1906</v>
      </c>
      <c r="X126" s="1" t="n">
        <f aca="false">D126</f>
        <v>19063.48</v>
      </c>
      <c r="Y126" s="1" t="n">
        <f aca="false">G126</f>
        <v>97.8</v>
      </c>
      <c r="Z126" s="1" t="n">
        <f aca="false">F126</f>
        <v>0.216</v>
      </c>
      <c r="AA126" s="1" t="n">
        <f aca="false">H126</f>
        <v>4.4</v>
      </c>
      <c r="AB126" s="1" t="n">
        <f aca="false">J126</f>
        <v>0</v>
      </c>
      <c r="AC126" s="1" t="n">
        <f aca="false">K126</f>
        <v>0</v>
      </c>
      <c r="AD126" s="1" t="n">
        <f aca="false">L126</f>
        <v>0</v>
      </c>
    </row>
    <row r="127" customFormat="false" ht="15" hidden="false" customHeight="false" outlineLevel="0" collapsed="false">
      <c r="A127" s="5" t="s">
        <v>66</v>
      </c>
      <c r="B127" s="5" t="s">
        <v>37</v>
      </c>
      <c r="C127" s="5" t="s">
        <v>31</v>
      </c>
      <c r="D127" s="5" t="n">
        <v>61541.21</v>
      </c>
      <c r="E127" s="5" t="n">
        <v>10396</v>
      </c>
      <c r="F127" s="5" t="n">
        <v>0.123</v>
      </c>
      <c r="G127" s="5" t="n">
        <v>88.1</v>
      </c>
      <c r="H127" s="5" t="n">
        <v>4.8</v>
      </c>
      <c r="I127" s="5" t="n">
        <v>914544.17</v>
      </c>
      <c r="J127" s="5" t="n">
        <v>0</v>
      </c>
      <c r="K127" s="5" t="n">
        <v>0</v>
      </c>
      <c r="L127" s="5" t="n">
        <v>0</v>
      </c>
      <c r="P127" s="1" t="n">
        <f aca="false">E127</f>
        <v>10396</v>
      </c>
      <c r="Q127" s="1" t="n">
        <f aca="false">D127</f>
        <v>61541.21</v>
      </c>
      <c r="R127" s="1" t="n">
        <f aca="false">G127</f>
        <v>88.1</v>
      </c>
      <c r="S127" s="1" t="n">
        <f aca="false">J127</f>
        <v>0</v>
      </c>
      <c r="T127" s="1" t="n">
        <f aca="false">K127</f>
        <v>0</v>
      </c>
      <c r="U127" s="1" t="n">
        <f aca="false">L127</f>
        <v>0</v>
      </c>
      <c r="W127" s="1" t="n">
        <f aca="false">E127</f>
        <v>10396</v>
      </c>
      <c r="X127" s="1" t="n">
        <f aca="false">D127</f>
        <v>61541.21</v>
      </c>
      <c r="Y127" s="1" t="n">
        <f aca="false">G127</f>
        <v>88.1</v>
      </c>
      <c r="Z127" s="1" t="n">
        <f aca="false">F127</f>
        <v>0.123</v>
      </c>
      <c r="AA127" s="1" t="n">
        <f aca="false">H127</f>
        <v>4.8</v>
      </c>
      <c r="AB127" s="1" t="n">
        <f aca="false">J127</f>
        <v>0</v>
      </c>
      <c r="AC127" s="1" t="n">
        <f aca="false">K127</f>
        <v>0</v>
      </c>
      <c r="AD127" s="1" t="n">
        <f aca="false">L127</f>
        <v>0</v>
      </c>
    </row>
    <row r="128" customFormat="false" ht="15" hidden="false" customHeight="false" outlineLevel="0" collapsed="false">
      <c r="A128" s="5" t="s">
        <v>66</v>
      </c>
      <c r="B128" s="5" t="s">
        <v>37</v>
      </c>
      <c r="C128" s="5" t="s">
        <v>31</v>
      </c>
      <c r="D128" s="5" t="n">
        <v>44747</v>
      </c>
      <c r="E128" s="5" t="n">
        <v>11076</v>
      </c>
      <c r="F128" s="5" t="n">
        <v>0.176</v>
      </c>
      <c r="G128" s="5" t="n">
        <v>98.3</v>
      </c>
      <c r="H128" s="5" t="n">
        <v>4.4</v>
      </c>
      <c r="I128" s="5" t="n">
        <v>842439.67</v>
      </c>
      <c r="J128" s="5" t="n">
        <v>0</v>
      </c>
      <c r="K128" s="5" t="n">
        <v>0</v>
      </c>
      <c r="L128" s="5" t="n">
        <v>0</v>
      </c>
      <c r="P128" s="1" t="n">
        <f aca="false">E128</f>
        <v>11076</v>
      </c>
      <c r="Q128" s="1" t="n">
        <f aca="false">D128</f>
        <v>44747</v>
      </c>
      <c r="R128" s="1" t="n">
        <f aca="false">G128</f>
        <v>98.3</v>
      </c>
      <c r="S128" s="1" t="n">
        <f aca="false">J128</f>
        <v>0</v>
      </c>
      <c r="T128" s="1" t="n">
        <f aca="false">K128</f>
        <v>0</v>
      </c>
      <c r="U128" s="1" t="n">
        <f aca="false">L128</f>
        <v>0</v>
      </c>
      <c r="W128" s="1" t="n">
        <f aca="false">E128</f>
        <v>11076</v>
      </c>
      <c r="X128" s="1" t="n">
        <f aca="false">D128</f>
        <v>44747</v>
      </c>
      <c r="Y128" s="1" t="n">
        <f aca="false">G128</f>
        <v>98.3</v>
      </c>
      <c r="Z128" s="1" t="n">
        <f aca="false">F128</f>
        <v>0.176</v>
      </c>
      <c r="AA128" s="1" t="n">
        <f aca="false">H128</f>
        <v>4.4</v>
      </c>
      <c r="AB128" s="1" t="n">
        <f aca="false">J128</f>
        <v>0</v>
      </c>
      <c r="AC128" s="1" t="n">
        <f aca="false">K128</f>
        <v>0</v>
      </c>
      <c r="AD128" s="1" t="n">
        <f aca="false">L128</f>
        <v>0</v>
      </c>
    </row>
    <row r="129" customFormat="false" ht="15" hidden="false" customHeight="false" outlineLevel="0" collapsed="false">
      <c r="A129" s="5" t="s">
        <v>66</v>
      </c>
      <c r="B129" s="5" t="s">
        <v>37</v>
      </c>
      <c r="C129" s="5" t="s">
        <v>31</v>
      </c>
      <c r="D129" s="5" t="n">
        <v>56517.9</v>
      </c>
      <c r="E129" s="5" t="n">
        <v>9574</v>
      </c>
      <c r="F129" s="5" t="n">
        <v>0.204</v>
      </c>
      <c r="G129" s="5" t="n">
        <v>88.2</v>
      </c>
      <c r="H129" s="5" t="n">
        <v>4.9</v>
      </c>
      <c r="I129" s="5" t="n">
        <v>842157.92</v>
      </c>
      <c r="J129" s="5" t="n">
        <v>0</v>
      </c>
      <c r="K129" s="5" t="n">
        <v>0</v>
      </c>
      <c r="L129" s="5" t="n">
        <v>0</v>
      </c>
      <c r="P129" s="1" t="n">
        <f aca="false">E129</f>
        <v>9574</v>
      </c>
      <c r="Q129" s="1" t="n">
        <f aca="false">D129</f>
        <v>56517.9</v>
      </c>
      <c r="R129" s="1" t="n">
        <f aca="false">G129</f>
        <v>88.2</v>
      </c>
      <c r="S129" s="1" t="n">
        <f aca="false">J129</f>
        <v>0</v>
      </c>
      <c r="T129" s="1" t="n">
        <f aca="false">K129</f>
        <v>0</v>
      </c>
      <c r="U129" s="1" t="n">
        <f aca="false">L129</f>
        <v>0</v>
      </c>
      <c r="W129" s="1" t="n">
        <f aca="false">E129</f>
        <v>9574</v>
      </c>
      <c r="X129" s="1" t="n">
        <f aca="false">D129</f>
        <v>56517.9</v>
      </c>
      <c r="Y129" s="1" t="n">
        <f aca="false">G129</f>
        <v>88.2</v>
      </c>
      <c r="Z129" s="1" t="n">
        <f aca="false">F129</f>
        <v>0.204</v>
      </c>
      <c r="AA129" s="1" t="n">
        <f aca="false">H129</f>
        <v>4.9</v>
      </c>
      <c r="AB129" s="1" t="n">
        <f aca="false">J129</f>
        <v>0</v>
      </c>
      <c r="AC129" s="1" t="n">
        <f aca="false">K129</f>
        <v>0</v>
      </c>
      <c r="AD129" s="1" t="n">
        <f aca="false">L129</f>
        <v>0</v>
      </c>
    </row>
    <row r="130" customFormat="false" ht="15" hidden="false" customHeight="false" outlineLevel="0" collapsed="false">
      <c r="A130" s="5" t="s">
        <v>66</v>
      </c>
      <c r="B130" s="5" t="s">
        <v>37</v>
      </c>
      <c r="C130" s="5" t="s">
        <v>31</v>
      </c>
      <c r="D130" s="5" t="n">
        <v>37828.5</v>
      </c>
      <c r="E130" s="5" t="n">
        <v>8221</v>
      </c>
      <c r="F130" s="5" t="n">
        <v>0.096</v>
      </c>
      <c r="G130" s="5" t="n">
        <v>81.5</v>
      </c>
      <c r="H130" s="5" t="n">
        <v>4.8</v>
      </c>
      <c r="I130" s="5" t="n">
        <v>697155.3</v>
      </c>
      <c r="J130" s="5" t="n">
        <v>0</v>
      </c>
      <c r="K130" s="5" t="n">
        <v>0</v>
      </c>
      <c r="L130" s="5" t="n">
        <v>0</v>
      </c>
      <c r="P130" s="1" t="n">
        <f aca="false">E130</f>
        <v>8221</v>
      </c>
      <c r="Q130" s="1" t="n">
        <f aca="false">D130</f>
        <v>37828.5</v>
      </c>
      <c r="R130" s="1" t="n">
        <f aca="false">G130</f>
        <v>81.5</v>
      </c>
      <c r="S130" s="1" t="n">
        <f aca="false">J130</f>
        <v>0</v>
      </c>
      <c r="T130" s="1" t="n">
        <f aca="false">K130</f>
        <v>0</v>
      </c>
      <c r="U130" s="1" t="n">
        <f aca="false">L130</f>
        <v>0</v>
      </c>
      <c r="W130" s="1" t="n">
        <f aca="false">E130</f>
        <v>8221</v>
      </c>
      <c r="X130" s="1" t="n">
        <f aca="false">D130</f>
        <v>37828.5</v>
      </c>
      <c r="Y130" s="1" t="n">
        <f aca="false">G130</f>
        <v>81.5</v>
      </c>
      <c r="Z130" s="1" t="n">
        <f aca="false">F130</f>
        <v>0.096</v>
      </c>
      <c r="AA130" s="1" t="n">
        <f aca="false">H130</f>
        <v>4.8</v>
      </c>
      <c r="AB130" s="1" t="n">
        <f aca="false">J130</f>
        <v>0</v>
      </c>
      <c r="AC130" s="1" t="n">
        <f aca="false">K130</f>
        <v>0</v>
      </c>
      <c r="AD130" s="1" t="n">
        <f aca="false">L130</f>
        <v>0</v>
      </c>
    </row>
    <row r="131" customFormat="false" ht="15" hidden="false" customHeight="false" outlineLevel="0" collapsed="false">
      <c r="A131" s="5" t="s">
        <v>67</v>
      </c>
      <c r="B131" s="5" t="s">
        <v>28</v>
      </c>
      <c r="C131" s="5" t="s">
        <v>31</v>
      </c>
      <c r="D131" s="5" t="n">
        <v>66250.53</v>
      </c>
      <c r="E131" s="5" t="n">
        <v>10618</v>
      </c>
      <c r="F131" s="5" t="n">
        <v>0.142</v>
      </c>
      <c r="G131" s="5" t="n">
        <v>88.3</v>
      </c>
      <c r="H131" s="5" t="n">
        <v>4.4</v>
      </c>
      <c r="I131" s="5" t="n">
        <v>849018.3</v>
      </c>
      <c r="J131" s="5" t="n">
        <v>0</v>
      </c>
      <c r="K131" s="5" t="n">
        <v>0</v>
      </c>
      <c r="L131" s="5" t="n">
        <v>0</v>
      </c>
      <c r="P131" s="1" t="n">
        <f aca="false">E131</f>
        <v>10618</v>
      </c>
      <c r="Q131" s="1" t="n">
        <f aca="false">D131</f>
        <v>66250.53</v>
      </c>
      <c r="R131" s="1" t="n">
        <f aca="false">G131</f>
        <v>88.3</v>
      </c>
      <c r="S131" s="1" t="n">
        <f aca="false">J131</f>
        <v>0</v>
      </c>
      <c r="T131" s="1" t="n">
        <f aca="false">K131</f>
        <v>0</v>
      </c>
      <c r="U131" s="1" t="n">
        <f aca="false">L131</f>
        <v>0</v>
      </c>
      <c r="W131" s="1" t="n">
        <f aca="false">E131</f>
        <v>10618</v>
      </c>
      <c r="X131" s="1" t="n">
        <f aca="false">D131</f>
        <v>66250.53</v>
      </c>
      <c r="Y131" s="1" t="n">
        <f aca="false">G131</f>
        <v>88.3</v>
      </c>
      <c r="Z131" s="1" t="n">
        <f aca="false">F131</f>
        <v>0.142</v>
      </c>
      <c r="AA131" s="1" t="n">
        <f aca="false">H131</f>
        <v>4.4</v>
      </c>
      <c r="AB131" s="1" t="n">
        <f aca="false">J131</f>
        <v>0</v>
      </c>
      <c r="AC131" s="1" t="n">
        <f aca="false">K131</f>
        <v>0</v>
      </c>
      <c r="AD131" s="1" t="n">
        <f aca="false">L131</f>
        <v>0</v>
      </c>
    </row>
    <row r="132" customFormat="false" ht="15" hidden="false" customHeight="false" outlineLevel="0" collapsed="false">
      <c r="A132" s="5" t="s">
        <v>67</v>
      </c>
      <c r="B132" s="5" t="s">
        <v>28</v>
      </c>
      <c r="C132" s="5" t="s">
        <v>31</v>
      </c>
      <c r="D132" s="5" t="n">
        <v>68410.93</v>
      </c>
      <c r="E132" s="5" t="n">
        <v>10596</v>
      </c>
      <c r="F132" s="5" t="n">
        <v>0.207</v>
      </c>
      <c r="G132" s="5" t="n">
        <v>81.2</v>
      </c>
      <c r="H132" s="5" t="n">
        <v>4</v>
      </c>
      <c r="I132" s="5" t="n">
        <v>801830.35</v>
      </c>
      <c r="J132" s="5" t="n">
        <v>0</v>
      </c>
      <c r="K132" s="5" t="n">
        <v>0</v>
      </c>
      <c r="L132" s="5" t="n">
        <v>0</v>
      </c>
      <c r="P132" s="1" t="n">
        <f aca="false">E132</f>
        <v>10596</v>
      </c>
      <c r="Q132" s="1" t="n">
        <f aca="false">D132</f>
        <v>68410.93</v>
      </c>
      <c r="R132" s="1" t="n">
        <f aca="false">G132</f>
        <v>81.2</v>
      </c>
      <c r="S132" s="1" t="n">
        <f aca="false">J132</f>
        <v>0</v>
      </c>
      <c r="T132" s="1" t="n">
        <f aca="false">K132</f>
        <v>0</v>
      </c>
      <c r="U132" s="1" t="n">
        <f aca="false">L132</f>
        <v>0</v>
      </c>
      <c r="W132" s="1" t="n">
        <f aca="false">E132</f>
        <v>10596</v>
      </c>
      <c r="X132" s="1" t="n">
        <f aca="false">D132</f>
        <v>68410.93</v>
      </c>
      <c r="Y132" s="1" t="n">
        <f aca="false">G132</f>
        <v>81.2</v>
      </c>
      <c r="Z132" s="1" t="n">
        <f aca="false">F132</f>
        <v>0.207</v>
      </c>
      <c r="AA132" s="1" t="n">
        <f aca="false">H132</f>
        <v>4</v>
      </c>
      <c r="AB132" s="1" t="n">
        <f aca="false">J132</f>
        <v>0</v>
      </c>
      <c r="AC132" s="1" t="n">
        <f aca="false">K132</f>
        <v>0</v>
      </c>
      <c r="AD132" s="1" t="n">
        <f aca="false">L132</f>
        <v>0</v>
      </c>
    </row>
    <row r="133" customFormat="false" ht="15" hidden="false" customHeight="false" outlineLevel="0" collapsed="false">
      <c r="A133" s="5" t="s">
        <v>67</v>
      </c>
      <c r="B133" s="5" t="s">
        <v>28</v>
      </c>
      <c r="C133" s="5" t="s">
        <v>31</v>
      </c>
      <c r="D133" s="5" t="n">
        <v>50735.63</v>
      </c>
      <c r="E133" s="5" t="n">
        <v>9619</v>
      </c>
      <c r="F133" s="5" t="n">
        <v>0.144</v>
      </c>
      <c r="G133" s="5" t="n">
        <v>93.8</v>
      </c>
      <c r="H133" s="5" t="n">
        <v>4.5</v>
      </c>
      <c r="I133" s="5" t="n">
        <v>725235.28</v>
      </c>
      <c r="J133" s="5" t="n">
        <v>0</v>
      </c>
      <c r="K133" s="5" t="n">
        <v>0</v>
      </c>
      <c r="L133" s="5" t="n">
        <v>0</v>
      </c>
      <c r="P133" s="1" t="n">
        <f aca="false">E133</f>
        <v>9619</v>
      </c>
      <c r="Q133" s="1" t="n">
        <f aca="false">D133</f>
        <v>50735.63</v>
      </c>
      <c r="R133" s="1" t="n">
        <f aca="false">G133</f>
        <v>93.8</v>
      </c>
      <c r="S133" s="1" t="n">
        <f aca="false">J133</f>
        <v>0</v>
      </c>
      <c r="T133" s="1" t="n">
        <f aca="false">K133</f>
        <v>0</v>
      </c>
      <c r="U133" s="1" t="n">
        <f aca="false">L133</f>
        <v>0</v>
      </c>
      <c r="W133" s="1" t="n">
        <f aca="false">E133</f>
        <v>9619</v>
      </c>
      <c r="X133" s="1" t="n">
        <f aca="false">D133</f>
        <v>50735.63</v>
      </c>
      <c r="Y133" s="1" t="n">
        <f aca="false">G133</f>
        <v>93.8</v>
      </c>
      <c r="Z133" s="1" t="n">
        <f aca="false">F133</f>
        <v>0.144</v>
      </c>
      <c r="AA133" s="1" t="n">
        <f aca="false">H133</f>
        <v>4.5</v>
      </c>
      <c r="AB133" s="1" t="n">
        <f aca="false">J133</f>
        <v>0</v>
      </c>
      <c r="AC133" s="1" t="n">
        <f aca="false">K133</f>
        <v>0</v>
      </c>
      <c r="AD133" s="1" t="n">
        <f aca="false">L133</f>
        <v>0</v>
      </c>
    </row>
    <row r="134" customFormat="false" ht="15" hidden="false" customHeight="false" outlineLevel="0" collapsed="false">
      <c r="A134" s="5" t="s">
        <v>67</v>
      </c>
      <c r="B134" s="5" t="s">
        <v>28</v>
      </c>
      <c r="C134" s="5" t="s">
        <v>31</v>
      </c>
      <c r="D134" s="5" t="n">
        <v>66455.8</v>
      </c>
      <c r="E134" s="5" t="n">
        <v>10836</v>
      </c>
      <c r="F134" s="5" t="n">
        <v>0.089</v>
      </c>
      <c r="G134" s="5" t="n">
        <v>85</v>
      </c>
      <c r="H134" s="5" t="n">
        <v>4.5</v>
      </c>
      <c r="I134" s="5" t="n">
        <v>811452.72</v>
      </c>
      <c r="J134" s="5" t="n">
        <v>0</v>
      </c>
      <c r="K134" s="5" t="n">
        <v>0</v>
      </c>
      <c r="L134" s="5" t="n">
        <v>0</v>
      </c>
      <c r="P134" s="1" t="n">
        <f aca="false">E134</f>
        <v>10836</v>
      </c>
      <c r="Q134" s="1" t="n">
        <f aca="false">D134</f>
        <v>66455.8</v>
      </c>
      <c r="R134" s="1" t="n">
        <f aca="false">G134</f>
        <v>85</v>
      </c>
      <c r="S134" s="1" t="n">
        <f aca="false">J134</f>
        <v>0</v>
      </c>
      <c r="T134" s="1" t="n">
        <f aca="false">K134</f>
        <v>0</v>
      </c>
      <c r="U134" s="1" t="n">
        <f aca="false">L134</f>
        <v>0</v>
      </c>
      <c r="W134" s="1" t="n">
        <f aca="false">E134</f>
        <v>10836</v>
      </c>
      <c r="X134" s="1" t="n">
        <f aca="false">D134</f>
        <v>66455.8</v>
      </c>
      <c r="Y134" s="1" t="n">
        <f aca="false">G134</f>
        <v>85</v>
      </c>
      <c r="Z134" s="1" t="n">
        <f aca="false">F134</f>
        <v>0.089</v>
      </c>
      <c r="AA134" s="1" t="n">
        <f aca="false">H134</f>
        <v>4.5</v>
      </c>
      <c r="AB134" s="1" t="n">
        <f aca="false">J134</f>
        <v>0</v>
      </c>
      <c r="AC134" s="1" t="n">
        <f aca="false">K134</f>
        <v>0</v>
      </c>
      <c r="AD134" s="1" t="n">
        <f aca="false">L134</f>
        <v>0</v>
      </c>
    </row>
    <row r="135" customFormat="false" ht="15" hidden="false" customHeight="false" outlineLevel="0" collapsed="false">
      <c r="A135" s="5" t="s">
        <v>68</v>
      </c>
      <c r="B135" s="5" t="s">
        <v>33</v>
      </c>
      <c r="C135" s="5" t="s">
        <v>31</v>
      </c>
      <c r="D135" s="5" t="n">
        <v>70276.28</v>
      </c>
      <c r="E135" s="5" t="n">
        <v>3043</v>
      </c>
      <c r="F135" s="5" t="n">
        <v>0.079</v>
      </c>
      <c r="G135" s="5" t="n">
        <v>87.9</v>
      </c>
      <c r="H135" s="5" t="n">
        <v>4.4</v>
      </c>
      <c r="I135" s="5" t="n">
        <v>527300.13</v>
      </c>
      <c r="J135" s="5" t="n">
        <v>0</v>
      </c>
      <c r="K135" s="5" t="n">
        <v>0</v>
      </c>
      <c r="L135" s="5" t="n">
        <v>0</v>
      </c>
      <c r="P135" s="1" t="n">
        <f aca="false">E135</f>
        <v>3043</v>
      </c>
      <c r="Q135" s="1" t="n">
        <f aca="false">D135</f>
        <v>70276.28</v>
      </c>
      <c r="R135" s="1" t="n">
        <f aca="false">G135</f>
        <v>87.9</v>
      </c>
      <c r="S135" s="1" t="n">
        <f aca="false">J135</f>
        <v>0</v>
      </c>
      <c r="T135" s="1" t="n">
        <f aca="false">K135</f>
        <v>0</v>
      </c>
      <c r="U135" s="1" t="n">
        <f aca="false">L135</f>
        <v>0</v>
      </c>
      <c r="W135" s="1" t="n">
        <f aca="false">E135</f>
        <v>3043</v>
      </c>
      <c r="X135" s="1" t="n">
        <f aca="false">D135</f>
        <v>70276.28</v>
      </c>
      <c r="Y135" s="1" t="n">
        <f aca="false">G135</f>
        <v>87.9</v>
      </c>
      <c r="Z135" s="1" t="n">
        <f aca="false">F135</f>
        <v>0.079</v>
      </c>
      <c r="AA135" s="1" t="n">
        <f aca="false">H135</f>
        <v>4.4</v>
      </c>
      <c r="AB135" s="1" t="n">
        <f aca="false">J135</f>
        <v>0</v>
      </c>
      <c r="AC135" s="1" t="n">
        <f aca="false">K135</f>
        <v>0</v>
      </c>
      <c r="AD135" s="1" t="n">
        <f aca="false">L135</f>
        <v>0</v>
      </c>
    </row>
    <row r="136" customFormat="false" ht="15" hidden="false" customHeight="false" outlineLevel="0" collapsed="false">
      <c r="A136" s="5" t="s">
        <v>68</v>
      </c>
      <c r="B136" s="5" t="s">
        <v>33</v>
      </c>
      <c r="C136" s="5" t="s">
        <v>31</v>
      </c>
      <c r="D136" s="5" t="n">
        <v>22071.64</v>
      </c>
      <c r="E136" s="5" t="n">
        <v>1814</v>
      </c>
      <c r="F136" s="5" t="n">
        <v>0.196</v>
      </c>
      <c r="G136" s="5" t="n">
        <v>81.1</v>
      </c>
      <c r="H136" s="5" t="n">
        <v>3.92467948717949</v>
      </c>
      <c r="I136" s="5" t="n">
        <v>400831.65</v>
      </c>
      <c r="J136" s="5" t="n">
        <v>0</v>
      </c>
      <c r="K136" s="5" t="n">
        <v>0</v>
      </c>
      <c r="L136" s="5" t="n">
        <v>0</v>
      </c>
      <c r="P136" s="1" t="n">
        <f aca="false">E136</f>
        <v>1814</v>
      </c>
      <c r="Q136" s="1" t="n">
        <f aca="false">D136</f>
        <v>22071.64</v>
      </c>
      <c r="R136" s="1" t="n">
        <f aca="false">G136</f>
        <v>81.1</v>
      </c>
      <c r="S136" s="1" t="n">
        <f aca="false">J136</f>
        <v>0</v>
      </c>
      <c r="T136" s="1" t="n">
        <f aca="false">K136</f>
        <v>0</v>
      </c>
      <c r="U136" s="1" t="n">
        <f aca="false">L136</f>
        <v>0</v>
      </c>
      <c r="W136" s="1" t="n">
        <f aca="false">E136</f>
        <v>1814</v>
      </c>
      <c r="X136" s="1" t="n">
        <f aca="false">D136</f>
        <v>22071.64</v>
      </c>
      <c r="Y136" s="1" t="n">
        <f aca="false">G136</f>
        <v>81.1</v>
      </c>
      <c r="Z136" s="1" t="n">
        <f aca="false">F136</f>
        <v>0.196</v>
      </c>
      <c r="AA136" s="1" t="n">
        <f aca="false">H136</f>
        <v>3.92467948717949</v>
      </c>
      <c r="AB136" s="1" t="n">
        <f aca="false">J136</f>
        <v>0</v>
      </c>
      <c r="AC136" s="1" t="n">
        <f aca="false">K136</f>
        <v>0</v>
      </c>
      <c r="AD136" s="1" t="n">
        <f aca="false">L136</f>
        <v>0</v>
      </c>
    </row>
    <row r="137" customFormat="false" ht="15" hidden="false" customHeight="false" outlineLevel="0" collapsed="false">
      <c r="A137" s="5" t="s">
        <v>68</v>
      </c>
      <c r="B137" s="5" t="s">
        <v>33</v>
      </c>
      <c r="C137" s="5" t="s">
        <v>31</v>
      </c>
      <c r="D137" s="5" t="n">
        <v>52285.45</v>
      </c>
      <c r="E137" s="5" t="n">
        <v>3618</v>
      </c>
      <c r="F137" s="5" t="n">
        <v>0.086</v>
      </c>
      <c r="G137" s="5" t="n">
        <v>95.6</v>
      </c>
      <c r="H137" s="5" t="n">
        <v>4.4</v>
      </c>
      <c r="I137" s="5" t="n">
        <v>593247.25</v>
      </c>
      <c r="J137" s="5" t="n">
        <v>0</v>
      </c>
      <c r="K137" s="5" t="n">
        <v>0</v>
      </c>
      <c r="L137" s="5" t="n">
        <v>0</v>
      </c>
      <c r="P137" s="1" t="n">
        <f aca="false">E137</f>
        <v>3618</v>
      </c>
      <c r="Q137" s="1" t="n">
        <f aca="false">D137</f>
        <v>52285.45</v>
      </c>
      <c r="R137" s="1" t="n">
        <f aca="false">G137</f>
        <v>95.6</v>
      </c>
      <c r="S137" s="1" t="n">
        <f aca="false">J137</f>
        <v>0</v>
      </c>
      <c r="T137" s="1" t="n">
        <f aca="false">K137</f>
        <v>0</v>
      </c>
      <c r="U137" s="1" t="n">
        <f aca="false">L137</f>
        <v>0</v>
      </c>
      <c r="W137" s="1" t="n">
        <f aca="false">E137</f>
        <v>3618</v>
      </c>
      <c r="X137" s="1" t="n">
        <f aca="false">D137</f>
        <v>52285.45</v>
      </c>
      <c r="Y137" s="1" t="n">
        <f aca="false">G137</f>
        <v>95.6</v>
      </c>
      <c r="Z137" s="1" t="n">
        <f aca="false">F137</f>
        <v>0.086</v>
      </c>
      <c r="AA137" s="1" t="n">
        <f aca="false">H137</f>
        <v>4.4</v>
      </c>
      <c r="AB137" s="1" t="n">
        <f aca="false">J137</f>
        <v>0</v>
      </c>
      <c r="AC137" s="1" t="n">
        <f aca="false">K137</f>
        <v>0</v>
      </c>
      <c r="AD137" s="1" t="n">
        <f aca="false">L137</f>
        <v>0</v>
      </c>
    </row>
    <row r="138" customFormat="false" ht="15" hidden="false" customHeight="false" outlineLevel="0" collapsed="false">
      <c r="A138" s="5" t="s">
        <v>68</v>
      </c>
      <c r="B138" s="5" t="s">
        <v>33</v>
      </c>
      <c r="C138" s="5" t="s">
        <v>31</v>
      </c>
      <c r="D138" s="5" t="n">
        <v>70366.76</v>
      </c>
      <c r="E138" s="5" t="n">
        <v>1963</v>
      </c>
      <c r="F138" s="5" t="n">
        <v>0.182</v>
      </c>
      <c r="G138" s="5" t="n">
        <v>89.8</v>
      </c>
      <c r="H138" s="5" t="n">
        <v>4.6</v>
      </c>
      <c r="I138" s="5" t="n">
        <v>529075.95</v>
      </c>
      <c r="J138" s="5" t="n">
        <v>0</v>
      </c>
      <c r="K138" s="5" t="n">
        <v>0</v>
      </c>
      <c r="L138" s="5" t="n">
        <v>0</v>
      </c>
      <c r="P138" s="1" t="n">
        <f aca="false">E138</f>
        <v>1963</v>
      </c>
      <c r="Q138" s="1" t="n">
        <f aca="false">D138</f>
        <v>70366.76</v>
      </c>
      <c r="R138" s="1" t="n">
        <f aca="false">G138</f>
        <v>89.8</v>
      </c>
      <c r="S138" s="1" t="n">
        <f aca="false">J138</f>
        <v>0</v>
      </c>
      <c r="T138" s="1" t="n">
        <f aca="false">K138</f>
        <v>0</v>
      </c>
      <c r="U138" s="1" t="n">
        <f aca="false">L138</f>
        <v>0</v>
      </c>
      <c r="W138" s="1" t="n">
        <f aca="false">E138</f>
        <v>1963</v>
      </c>
      <c r="X138" s="1" t="n">
        <f aca="false">D138</f>
        <v>70366.76</v>
      </c>
      <c r="Y138" s="1" t="n">
        <f aca="false">G138</f>
        <v>89.8</v>
      </c>
      <c r="Z138" s="1" t="n">
        <f aca="false">F138</f>
        <v>0.182</v>
      </c>
      <c r="AA138" s="1" t="n">
        <f aca="false">H138</f>
        <v>4.6</v>
      </c>
      <c r="AB138" s="1" t="n">
        <f aca="false">J138</f>
        <v>0</v>
      </c>
      <c r="AC138" s="1" t="n">
        <f aca="false">K138</f>
        <v>0</v>
      </c>
      <c r="AD138" s="1" t="n">
        <f aca="false">L138</f>
        <v>0</v>
      </c>
    </row>
    <row r="139" customFormat="false" ht="15" hidden="false" customHeight="false" outlineLevel="0" collapsed="false">
      <c r="A139" s="5" t="s">
        <v>69</v>
      </c>
      <c r="B139" s="5" t="s">
        <v>37</v>
      </c>
      <c r="C139" s="5" t="s">
        <v>29</v>
      </c>
      <c r="D139" s="5" t="n">
        <v>71320.66</v>
      </c>
      <c r="E139" s="5" t="n">
        <v>7888</v>
      </c>
      <c r="F139" s="5" t="n">
        <v>0.048</v>
      </c>
      <c r="G139" s="5" t="n">
        <v>78.1</v>
      </c>
      <c r="H139" s="5" t="n">
        <v>3.92467948717949</v>
      </c>
      <c r="I139" s="5" t="n">
        <v>633638.03</v>
      </c>
      <c r="J139" s="5" t="n">
        <v>0</v>
      </c>
      <c r="K139" s="5" t="n">
        <v>1</v>
      </c>
      <c r="L139" s="5" t="n">
        <v>0</v>
      </c>
      <c r="P139" s="1" t="n">
        <f aca="false">E139</f>
        <v>7888</v>
      </c>
      <c r="Q139" s="1" t="n">
        <f aca="false">D139</f>
        <v>71320.66</v>
      </c>
      <c r="R139" s="1" t="n">
        <f aca="false">G139</f>
        <v>78.1</v>
      </c>
      <c r="S139" s="1" t="n">
        <f aca="false">J139</f>
        <v>0</v>
      </c>
      <c r="T139" s="1" t="n">
        <f aca="false">K139</f>
        <v>1</v>
      </c>
      <c r="U139" s="1" t="n">
        <f aca="false">L139</f>
        <v>0</v>
      </c>
      <c r="W139" s="1" t="n">
        <f aca="false">E139</f>
        <v>7888</v>
      </c>
      <c r="X139" s="1" t="n">
        <f aca="false">D139</f>
        <v>71320.66</v>
      </c>
      <c r="Y139" s="1" t="n">
        <f aca="false">G139</f>
        <v>78.1</v>
      </c>
      <c r="Z139" s="1" t="n">
        <f aca="false">F139</f>
        <v>0.048</v>
      </c>
      <c r="AA139" s="1" t="n">
        <f aca="false">H139</f>
        <v>3.92467948717949</v>
      </c>
      <c r="AB139" s="1" t="n">
        <f aca="false">J139</f>
        <v>0</v>
      </c>
      <c r="AC139" s="1" t="n">
        <f aca="false">K139</f>
        <v>1</v>
      </c>
      <c r="AD139" s="1" t="n">
        <f aca="false">L139</f>
        <v>0</v>
      </c>
    </row>
    <row r="140" customFormat="false" ht="15" hidden="false" customHeight="false" outlineLevel="0" collapsed="false">
      <c r="A140" s="5" t="s">
        <v>69</v>
      </c>
      <c r="B140" s="5" t="s">
        <v>37</v>
      </c>
      <c r="C140" s="5" t="s">
        <v>29</v>
      </c>
      <c r="D140" s="5" t="n">
        <v>75109.67</v>
      </c>
      <c r="E140" s="5" t="n">
        <v>6244</v>
      </c>
      <c r="F140" s="5" t="n">
        <v>0.079</v>
      </c>
      <c r="G140" s="5" t="n">
        <v>96.3</v>
      </c>
      <c r="H140" s="5" t="n">
        <v>3.7</v>
      </c>
      <c r="I140" s="5" t="n">
        <v>743348.84</v>
      </c>
      <c r="J140" s="5" t="n">
        <v>0</v>
      </c>
      <c r="K140" s="5" t="n">
        <v>1</v>
      </c>
      <c r="L140" s="5" t="n">
        <v>0</v>
      </c>
      <c r="P140" s="1" t="n">
        <f aca="false">E140</f>
        <v>6244</v>
      </c>
      <c r="Q140" s="1" t="n">
        <f aca="false">D140</f>
        <v>75109.67</v>
      </c>
      <c r="R140" s="1" t="n">
        <f aca="false">G140</f>
        <v>96.3</v>
      </c>
      <c r="S140" s="1" t="n">
        <f aca="false">J140</f>
        <v>0</v>
      </c>
      <c r="T140" s="1" t="n">
        <f aca="false">K140</f>
        <v>1</v>
      </c>
      <c r="U140" s="1" t="n">
        <f aca="false">L140</f>
        <v>0</v>
      </c>
      <c r="W140" s="1" t="n">
        <f aca="false">E140</f>
        <v>6244</v>
      </c>
      <c r="X140" s="1" t="n">
        <f aca="false">D140</f>
        <v>75109.67</v>
      </c>
      <c r="Y140" s="1" t="n">
        <f aca="false">G140</f>
        <v>96.3</v>
      </c>
      <c r="Z140" s="1" t="n">
        <f aca="false">F140</f>
        <v>0.079</v>
      </c>
      <c r="AA140" s="1" t="n">
        <f aca="false">H140</f>
        <v>3.7</v>
      </c>
      <c r="AB140" s="1" t="n">
        <f aca="false">J140</f>
        <v>0</v>
      </c>
      <c r="AC140" s="1" t="n">
        <f aca="false">K140</f>
        <v>1</v>
      </c>
      <c r="AD140" s="1" t="n">
        <f aca="false">L140</f>
        <v>0</v>
      </c>
    </row>
    <row r="141" customFormat="false" ht="15" hidden="false" customHeight="false" outlineLevel="0" collapsed="false">
      <c r="A141" s="5" t="s">
        <v>69</v>
      </c>
      <c r="B141" s="5" t="s">
        <v>37</v>
      </c>
      <c r="C141" s="5" t="s">
        <v>29</v>
      </c>
      <c r="D141" s="5" t="n">
        <v>69779</v>
      </c>
      <c r="E141" s="5" t="n">
        <v>6544</v>
      </c>
      <c r="F141" s="5" t="n">
        <v>0.152</v>
      </c>
      <c r="G141" s="5" t="n">
        <v>90.2</v>
      </c>
      <c r="H141" s="5" t="n">
        <v>3.3</v>
      </c>
      <c r="I141" s="5" t="n">
        <v>758827.64</v>
      </c>
      <c r="J141" s="5" t="n">
        <v>0</v>
      </c>
      <c r="K141" s="5" t="n">
        <v>1</v>
      </c>
      <c r="L141" s="5" t="n">
        <v>0</v>
      </c>
      <c r="P141" s="1" t="n">
        <f aca="false">E141</f>
        <v>6544</v>
      </c>
      <c r="Q141" s="1" t="n">
        <f aca="false">D141</f>
        <v>69779</v>
      </c>
      <c r="R141" s="1" t="n">
        <f aca="false">G141</f>
        <v>90.2</v>
      </c>
      <c r="S141" s="1" t="n">
        <f aca="false">J141</f>
        <v>0</v>
      </c>
      <c r="T141" s="1" t="n">
        <f aca="false">K141</f>
        <v>1</v>
      </c>
      <c r="U141" s="1" t="n">
        <f aca="false">L141</f>
        <v>0</v>
      </c>
      <c r="W141" s="1" t="n">
        <f aca="false">E141</f>
        <v>6544</v>
      </c>
      <c r="X141" s="1" t="n">
        <f aca="false">D141</f>
        <v>69779</v>
      </c>
      <c r="Y141" s="1" t="n">
        <f aca="false">G141</f>
        <v>90.2</v>
      </c>
      <c r="Z141" s="1" t="n">
        <f aca="false">F141</f>
        <v>0.152</v>
      </c>
      <c r="AA141" s="1" t="n">
        <f aca="false">H141</f>
        <v>3.3</v>
      </c>
      <c r="AB141" s="1" t="n">
        <f aca="false">J141</f>
        <v>0</v>
      </c>
      <c r="AC141" s="1" t="n">
        <f aca="false">K141</f>
        <v>1</v>
      </c>
      <c r="AD141" s="1" t="n">
        <f aca="false">L141</f>
        <v>0</v>
      </c>
    </row>
    <row r="142" customFormat="false" ht="15" hidden="false" customHeight="false" outlineLevel="0" collapsed="false">
      <c r="A142" s="5" t="s">
        <v>69</v>
      </c>
      <c r="B142" s="5" t="s">
        <v>37</v>
      </c>
      <c r="C142" s="5" t="s">
        <v>29</v>
      </c>
      <c r="D142" s="5" t="n">
        <v>44211.95</v>
      </c>
      <c r="E142" s="5" t="n">
        <v>5465</v>
      </c>
      <c r="F142" s="5" t="n">
        <v>0.187</v>
      </c>
      <c r="G142" s="5" t="n">
        <v>90</v>
      </c>
      <c r="H142" s="5" t="n">
        <v>3.6</v>
      </c>
      <c r="I142" s="5" t="n">
        <v>646559.71</v>
      </c>
      <c r="J142" s="5" t="n">
        <v>0</v>
      </c>
      <c r="K142" s="5" t="n">
        <v>1</v>
      </c>
      <c r="L142" s="5" t="n">
        <v>0</v>
      </c>
      <c r="P142" s="1" t="n">
        <f aca="false">E142</f>
        <v>5465</v>
      </c>
      <c r="Q142" s="1" t="n">
        <f aca="false">D142</f>
        <v>44211.95</v>
      </c>
      <c r="R142" s="1" t="n">
        <f aca="false">G142</f>
        <v>90</v>
      </c>
      <c r="S142" s="1" t="n">
        <f aca="false">J142</f>
        <v>0</v>
      </c>
      <c r="T142" s="1" t="n">
        <f aca="false">K142</f>
        <v>1</v>
      </c>
      <c r="U142" s="1" t="n">
        <f aca="false">L142</f>
        <v>0</v>
      </c>
      <c r="W142" s="1" t="n">
        <f aca="false">E142</f>
        <v>5465</v>
      </c>
      <c r="X142" s="1" t="n">
        <f aca="false">D142</f>
        <v>44211.95</v>
      </c>
      <c r="Y142" s="1" t="n">
        <f aca="false">G142</f>
        <v>90</v>
      </c>
      <c r="Z142" s="1" t="n">
        <f aca="false">F142</f>
        <v>0.187</v>
      </c>
      <c r="AA142" s="1" t="n">
        <f aca="false">H142</f>
        <v>3.6</v>
      </c>
      <c r="AB142" s="1" t="n">
        <f aca="false">J142</f>
        <v>0</v>
      </c>
      <c r="AC142" s="1" t="n">
        <f aca="false">K142</f>
        <v>1</v>
      </c>
      <c r="AD142" s="1" t="n">
        <f aca="false">L142</f>
        <v>0</v>
      </c>
    </row>
    <row r="143" customFormat="false" ht="15" hidden="false" customHeight="false" outlineLevel="0" collapsed="false">
      <c r="A143" s="5" t="s">
        <v>70</v>
      </c>
      <c r="B143" s="5" t="s">
        <v>40</v>
      </c>
      <c r="C143" s="5" t="s">
        <v>31</v>
      </c>
      <c r="D143" s="5" t="n">
        <v>51430.31</v>
      </c>
      <c r="E143" s="5" t="n">
        <v>6427</v>
      </c>
      <c r="F143" s="5" t="n">
        <v>0.234</v>
      </c>
      <c r="G143" s="5" t="n">
        <v>88.8</v>
      </c>
      <c r="H143" s="5" t="n">
        <v>4.1</v>
      </c>
      <c r="I143" s="5" t="n">
        <v>715890.53</v>
      </c>
      <c r="J143" s="5" t="n">
        <v>0</v>
      </c>
      <c r="K143" s="5" t="n">
        <v>0</v>
      </c>
      <c r="L143" s="5" t="n">
        <v>0</v>
      </c>
      <c r="P143" s="1" t="n">
        <f aca="false">E143</f>
        <v>6427</v>
      </c>
      <c r="Q143" s="1" t="n">
        <f aca="false">D143</f>
        <v>51430.31</v>
      </c>
      <c r="R143" s="1" t="n">
        <f aca="false">G143</f>
        <v>88.8</v>
      </c>
      <c r="S143" s="1" t="n">
        <f aca="false">J143</f>
        <v>0</v>
      </c>
      <c r="T143" s="1" t="n">
        <f aca="false">K143</f>
        <v>0</v>
      </c>
      <c r="U143" s="1" t="n">
        <f aca="false">L143</f>
        <v>0</v>
      </c>
      <c r="W143" s="1" t="n">
        <f aca="false">E143</f>
        <v>6427</v>
      </c>
      <c r="X143" s="1" t="n">
        <f aca="false">D143</f>
        <v>51430.31</v>
      </c>
      <c r="Y143" s="1" t="n">
        <f aca="false">G143</f>
        <v>88.8</v>
      </c>
      <c r="Z143" s="1" t="n">
        <f aca="false">F143</f>
        <v>0.234</v>
      </c>
      <c r="AA143" s="1" t="n">
        <f aca="false">H143</f>
        <v>4.1</v>
      </c>
      <c r="AB143" s="1" t="n">
        <f aca="false">J143</f>
        <v>0</v>
      </c>
      <c r="AC143" s="1" t="n">
        <f aca="false">K143</f>
        <v>0</v>
      </c>
      <c r="AD143" s="1" t="n">
        <f aca="false">L143</f>
        <v>0</v>
      </c>
    </row>
    <row r="144" customFormat="false" ht="15" hidden="false" customHeight="false" outlineLevel="0" collapsed="false">
      <c r="A144" s="5" t="s">
        <v>70</v>
      </c>
      <c r="B144" s="5" t="s">
        <v>40</v>
      </c>
      <c r="C144" s="5" t="s">
        <v>31</v>
      </c>
      <c r="D144" s="5" t="n">
        <v>45706.49</v>
      </c>
      <c r="E144" s="5" t="n">
        <v>6704</v>
      </c>
      <c r="F144" s="5" t="n">
        <v>0.038</v>
      </c>
      <c r="G144" s="5" t="n">
        <v>94.2</v>
      </c>
      <c r="H144" s="5" t="n">
        <v>4.2</v>
      </c>
      <c r="I144" s="5" t="n">
        <v>715097.57</v>
      </c>
      <c r="J144" s="5" t="n">
        <v>0</v>
      </c>
      <c r="K144" s="5" t="n">
        <v>0</v>
      </c>
      <c r="L144" s="5" t="n">
        <v>0</v>
      </c>
      <c r="P144" s="1" t="n">
        <f aca="false">E144</f>
        <v>6704</v>
      </c>
      <c r="Q144" s="1" t="n">
        <f aca="false">D144</f>
        <v>45706.49</v>
      </c>
      <c r="R144" s="1" t="n">
        <f aca="false">G144</f>
        <v>94.2</v>
      </c>
      <c r="S144" s="1" t="n">
        <f aca="false">J144</f>
        <v>0</v>
      </c>
      <c r="T144" s="1" t="n">
        <f aca="false">K144</f>
        <v>0</v>
      </c>
      <c r="U144" s="1" t="n">
        <f aca="false">L144</f>
        <v>0</v>
      </c>
      <c r="W144" s="1" t="n">
        <f aca="false">E144</f>
        <v>6704</v>
      </c>
      <c r="X144" s="1" t="n">
        <f aca="false">D144</f>
        <v>45706.49</v>
      </c>
      <c r="Y144" s="1" t="n">
        <f aca="false">G144</f>
        <v>94.2</v>
      </c>
      <c r="Z144" s="1" t="n">
        <f aca="false">F144</f>
        <v>0.038</v>
      </c>
      <c r="AA144" s="1" t="n">
        <f aca="false">H144</f>
        <v>4.2</v>
      </c>
      <c r="AB144" s="1" t="n">
        <f aca="false">J144</f>
        <v>0</v>
      </c>
      <c r="AC144" s="1" t="n">
        <f aca="false">K144</f>
        <v>0</v>
      </c>
      <c r="AD144" s="1" t="n">
        <f aca="false">L144</f>
        <v>0</v>
      </c>
    </row>
    <row r="145" customFormat="false" ht="15" hidden="false" customHeight="false" outlineLevel="0" collapsed="false">
      <c r="A145" s="5" t="s">
        <v>70</v>
      </c>
      <c r="B145" s="5" t="s">
        <v>40</v>
      </c>
      <c r="C145" s="5" t="s">
        <v>31</v>
      </c>
      <c r="D145" s="5" t="n">
        <v>44034.6</v>
      </c>
      <c r="E145" s="5" t="n">
        <v>5645</v>
      </c>
      <c r="F145" s="5" t="n">
        <v>0.069</v>
      </c>
      <c r="G145" s="5" t="n">
        <v>88.5</v>
      </c>
      <c r="H145" s="5" t="n">
        <v>3.8</v>
      </c>
      <c r="I145" s="5" t="n">
        <v>682639.28</v>
      </c>
      <c r="J145" s="5" t="n">
        <v>0</v>
      </c>
      <c r="K145" s="5" t="n">
        <v>0</v>
      </c>
      <c r="L145" s="5" t="n">
        <v>0</v>
      </c>
      <c r="P145" s="1" t="n">
        <f aca="false">E145</f>
        <v>5645</v>
      </c>
      <c r="Q145" s="1" t="n">
        <f aca="false">D145</f>
        <v>44034.6</v>
      </c>
      <c r="R145" s="1" t="n">
        <f aca="false">G145</f>
        <v>88.5</v>
      </c>
      <c r="S145" s="1" t="n">
        <f aca="false">J145</f>
        <v>0</v>
      </c>
      <c r="T145" s="1" t="n">
        <f aca="false">K145</f>
        <v>0</v>
      </c>
      <c r="U145" s="1" t="n">
        <f aca="false">L145</f>
        <v>0</v>
      </c>
      <c r="W145" s="1" t="n">
        <f aca="false">E145</f>
        <v>5645</v>
      </c>
      <c r="X145" s="1" t="n">
        <f aca="false">D145</f>
        <v>44034.6</v>
      </c>
      <c r="Y145" s="1" t="n">
        <f aca="false">G145</f>
        <v>88.5</v>
      </c>
      <c r="Z145" s="1" t="n">
        <f aca="false">F145</f>
        <v>0.069</v>
      </c>
      <c r="AA145" s="1" t="n">
        <f aca="false">H145</f>
        <v>3.8</v>
      </c>
      <c r="AB145" s="1" t="n">
        <f aca="false">J145</f>
        <v>0</v>
      </c>
      <c r="AC145" s="1" t="n">
        <f aca="false">K145</f>
        <v>0</v>
      </c>
      <c r="AD145" s="1" t="n">
        <f aca="false">L145</f>
        <v>0</v>
      </c>
    </row>
    <row r="146" customFormat="false" ht="15" hidden="false" customHeight="false" outlineLevel="0" collapsed="false">
      <c r="A146" s="5" t="s">
        <v>70</v>
      </c>
      <c r="B146" s="5" t="s">
        <v>40</v>
      </c>
      <c r="C146" s="5" t="s">
        <v>31</v>
      </c>
      <c r="D146" s="5" t="n">
        <v>50198.12</v>
      </c>
      <c r="E146" s="5" t="n">
        <v>6089</v>
      </c>
      <c r="F146" s="5" t="n">
        <v>0.182</v>
      </c>
      <c r="G146" s="5" t="n">
        <v>94</v>
      </c>
      <c r="H146" s="5" t="n">
        <v>3.9</v>
      </c>
      <c r="I146" s="5" t="n">
        <v>695098.51</v>
      </c>
      <c r="J146" s="5" t="n">
        <v>0</v>
      </c>
      <c r="K146" s="5" t="n">
        <v>0</v>
      </c>
      <c r="L146" s="5" t="n">
        <v>0</v>
      </c>
      <c r="P146" s="1" t="n">
        <f aca="false">E146</f>
        <v>6089</v>
      </c>
      <c r="Q146" s="1" t="n">
        <f aca="false">D146</f>
        <v>50198.12</v>
      </c>
      <c r="R146" s="1" t="n">
        <f aca="false">G146</f>
        <v>94</v>
      </c>
      <c r="S146" s="1" t="n">
        <f aca="false">J146</f>
        <v>0</v>
      </c>
      <c r="T146" s="1" t="n">
        <f aca="false">K146</f>
        <v>0</v>
      </c>
      <c r="U146" s="1" t="n">
        <f aca="false">L146</f>
        <v>0</v>
      </c>
      <c r="W146" s="1" t="n">
        <f aca="false">E146</f>
        <v>6089</v>
      </c>
      <c r="X146" s="1" t="n">
        <f aca="false">D146</f>
        <v>50198.12</v>
      </c>
      <c r="Y146" s="1" t="n">
        <f aca="false">G146</f>
        <v>94</v>
      </c>
      <c r="Z146" s="1" t="n">
        <f aca="false">F146</f>
        <v>0.182</v>
      </c>
      <c r="AA146" s="1" t="n">
        <f aca="false">H146</f>
        <v>3.9</v>
      </c>
      <c r="AB146" s="1" t="n">
        <f aca="false">J146</f>
        <v>0</v>
      </c>
      <c r="AC146" s="1" t="n">
        <f aca="false">K146</f>
        <v>0</v>
      </c>
      <c r="AD146" s="1" t="n">
        <f aca="false">L146</f>
        <v>0</v>
      </c>
    </row>
    <row r="147" customFormat="false" ht="15" hidden="false" customHeight="false" outlineLevel="0" collapsed="false">
      <c r="A147" s="5" t="s">
        <v>71</v>
      </c>
      <c r="B147" s="5" t="s">
        <v>33</v>
      </c>
      <c r="C147" s="5" t="s">
        <v>29</v>
      </c>
      <c r="D147" s="5" t="n">
        <v>70488.2</v>
      </c>
      <c r="E147" s="5" t="n">
        <v>4312</v>
      </c>
      <c r="F147" s="5" t="n">
        <v>0.169</v>
      </c>
      <c r="G147" s="5" t="n">
        <v>90.2</v>
      </c>
      <c r="H147" s="5" t="n">
        <v>3.2</v>
      </c>
      <c r="I147" s="5" t="n">
        <v>577732.57</v>
      </c>
      <c r="J147" s="5" t="n">
        <v>0</v>
      </c>
      <c r="K147" s="5" t="n">
        <v>1</v>
      </c>
      <c r="L147" s="5" t="n">
        <v>0</v>
      </c>
      <c r="P147" s="1" t="n">
        <f aca="false">E147</f>
        <v>4312</v>
      </c>
      <c r="Q147" s="1" t="n">
        <f aca="false">D147</f>
        <v>70488.2</v>
      </c>
      <c r="R147" s="1" t="n">
        <f aca="false">G147</f>
        <v>90.2</v>
      </c>
      <c r="S147" s="1" t="n">
        <f aca="false">J147</f>
        <v>0</v>
      </c>
      <c r="T147" s="1" t="n">
        <f aca="false">K147</f>
        <v>1</v>
      </c>
      <c r="U147" s="1" t="n">
        <f aca="false">L147</f>
        <v>0</v>
      </c>
      <c r="W147" s="1" t="n">
        <f aca="false">E147</f>
        <v>4312</v>
      </c>
      <c r="X147" s="1" t="n">
        <f aca="false">D147</f>
        <v>70488.2</v>
      </c>
      <c r="Y147" s="1" t="n">
        <f aca="false">G147</f>
        <v>90.2</v>
      </c>
      <c r="Z147" s="1" t="n">
        <f aca="false">F147</f>
        <v>0.169</v>
      </c>
      <c r="AA147" s="1" t="n">
        <f aca="false">H147</f>
        <v>3.2</v>
      </c>
      <c r="AB147" s="1" t="n">
        <f aca="false">J147</f>
        <v>0</v>
      </c>
      <c r="AC147" s="1" t="n">
        <f aca="false">K147</f>
        <v>1</v>
      </c>
      <c r="AD147" s="1" t="n">
        <f aca="false">L147</f>
        <v>0</v>
      </c>
    </row>
    <row r="148" customFormat="false" ht="15" hidden="false" customHeight="false" outlineLevel="0" collapsed="false">
      <c r="A148" s="5" t="s">
        <v>71</v>
      </c>
      <c r="B148" s="5" t="s">
        <v>33</v>
      </c>
      <c r="C148" s="5" t="s">
        <v>29</v>
      </c>
      <c r="D148" s="5" t="n">
        <v>50909.27</v>
      </c>
      <c r="E148" s="5" t="n">
        <v>3152</v>
      </c>
      <c r="F148" s="5" t="n">
        <v>0.06</v>
      </c>
      <c r="G148" s="5" t="n">
        <v>93.7</v>
      </c>
      <c r="H148" s="5" t="n">
        <v>3.5</v>
      </c>
      <c r="I148" s="5" t="n">
        <v>537058.33</v>
      </c>
      <c r="J148" s="5" t="n">
        <v>0</v>
      </c>
      <c r="K148" s="5" t="n">
        <v>1</v>
      </c>
      <c r="L148" s="5" t="n">
        <v>0</v>
      </c>
      <c r="P148" s="1" t="n">
        <f aca="false">E148</f>
        <v>3152</v>
      </c>
      <c r="Q148" s="1" t="n">
        <f aca="false">D148</f>
        <v>50909.27</v>
      </c>
      <c r="R148" s="1" t="n">
        <f aca="false">G148</f>
        <v>93.7</v>
      </c>
      <c r="S148" s="1" t="n">
        <f aca="false">J148</f>
        <v>0</v>
      </c>
      <c r="T148" s="1" t="n">
        <f aca="false">K148</f>
        <v>1</v>
      </c>
      <c r="U148" s="1" t="n">
        <f aca="false">L148</f>
        <v>0</v>
      </c>
      <c r="W148" s="1" t="n">
        <f aca="false">E148</f>
        <v>3152</v>
      </c>
      <c r="X148" s="1" t="n">
        <f aca="false">D148</f>
        <v>50909.27</v>
      </c>
      <c r="Y148" s="1" t="n">
        <f aca="false">G148</f>
        <v>93.7</v>
      </c>
      <c r="Z148" s="1" t="n">
        <f aca="false">F148</f>
        <v>0.06</v>
      </c>
      <c r="AA148" s="1" t="n">
        <f aca="false">H148</f>
        <v>3.5</v>
      </c>
      <c r="AB148" s="1" t="n">
        <f aca="false">J148</f>
        <v>0</v>
      </c>
      <c r="AC148" s="1" t="n">
        <f aca="false">K148</f>
        <v>1</v>
      </c>
      <c r="AD148" s="1" t="n">
        <f aca="false">L148</f>
        <v>0</v>
      </c>
    </row>
    <row r="149" customFormat="false" ht="15" hidden="false" customHeight="false" outlineLevel="0" collapsed="false">
      <c r="A149" s="5" t="s">
        <v>71</v>
      </c>
      <c r="B149" s="5" t="s">
        <v>33</v>
      </c>
      <c r="C149" s="5" t="s">
        <v>29</v>
      </c>
      <c r="D149" s="5" t="n">
        <v>53351.7</v>
      </c>
      <c r="E149" s="5" t="n">
        <v>4259</v>
      </c>
      <c r="F149" s="5" t="n">
        <v>0.156</v>
      </c>
      <c r="G149" s="5" t="n">
        <v>93.7</v>
      </c>
      <c r="H149" s="5" t="n">
        <v>3.4</v>
      </c>
      <c r="I149" s="5" t="n">
        <v>601568.87</v>
      </c>
      <c r="J149" s="5" t="n">
        <v>0</v>
      </c>
      <c r="K149" s="5" t="n">
        <v>1</v>
      </c>
      <c r="L149" s="5" t="n">
        <v>0</v>
      </c>
      <c r="P149" s="1" t="n">
        <f aca="false">E149</f>
        <v>4259</v>
      </c>
      <c r="Q149" s="1" t="n">
        <f aca="false">D149</f>
        <v>53351.7</v>
      </c>
      <c r="R149" s="1" t="n">
        <f aca="false">G149</f>
        <v>93.7</v>
      </c>
      <c r="S149" s="1" t="n">
        <f aca="false">J149</f>
        <v>0</v>
      </c>
      <c r="T149" s="1" t="n">
        <f aca="false">K149</f>
        <v>1</v>
      </c>
      <c r="U149" s="1" t="n">
        <f aca="false">L149</f>
        <v>0</v>
      </c>
      <c r="W149" s="1" t="n">
        <f aca="false">E149</f>
        <v>4259</v>
      </c>
      <c r="X149" s="1" t="n">
        <f aca="false">D149</f>
        <v>53351.7</v>
      </c>
      <c r="Y149" s="1" t="n">
        <f aca="false">G149</f>
        <v>93.7</v>
      </c>
      <c r="Z149" s="1" t="n">
        <f aca="false">F149</f>
        <v>0.156</v>
      </c>
      <c r="AA149" s="1" t="n">
        <f aca="false">H149</f>
        <v>3.4</v>
      </c>
      <c r="AB149" s="1" t="n">
        <f aca="false">J149</f>
        <v>0</v>
      </c>
      <c r="AC149" s="1" t="n">
        <f aca="false">K149</f>
        <v>1</v>
      </c>
      <c r="AD149" s="1" t="n">
        <f aca="false">L149</f>
        <v>0</v>
      </c>
    </row>
    <row r="150" customFormat="false" ht="15" hidden="false" customHeight="false" outlineLevel="0" collapsed="false">
      <c r="A150" s="5" t="s">
        <v>71</v>
      </c>
      <c r="B150" s="5" t="s">
        <v>33</v>
      </c>
      <c r="C150" s="5" t="s">
        <v>29</v>
      </c>
      <c r="D150" s="5" t="n">
        <v>60322.4</v>
      </c>
      <c r="E150" s="5" t="n">
        <v>3350</v>
      </c>
      <c r="F150" s="5" t="n">
        <v>0.108</v>
      </c>
      <c r="G150" s="5" t="n">
        <v>89.4</v>
      </c>
      <c r="H150" s="5" t="n">
        <v>3.4</v>
      </c>
      <c r="I150" s="5" t="n">
        <v>570964.84</v>
      </c>
      <c r="J150" s="5" t="n">
        <v>0</v>
      </c>
      <c r="K150" s="5" t="n">
        <v>1</v>
      </c>
      <c r="L150" s="5" t="n">
        <v>0</v>
      </c>
      <c r="P150" s="1" t="n">
        <f aca="false">E150</f>
        <v>3350</v>
      </c>
      <c r="Q150" s="1" t="n">
        <f aca="false">D150</f>
        <v>60322.4</v>
      </c>
      <c r="R150" s="1" t="n">
        <f aca="false">G150</f>
        <v>89.4</v>
      </c>
      <c r="S150" s="1" t="n">
        <f aca="false">J150</f>
        <v>0</v>
      </c>
      <c r="T150" s="1" t="n">
        <f aca="false">K150</f>
        <v>1</v>
      </c>
      <c r="U150" s="1" t="n">
        <f aca="false">L150</f>
        <v>0</v>
      </c>
      <c r="W150" s="1" t="n">
        <f aca="false">E150</f>
        <v>3350</v>
      </c>
      <c r="X150" s="1" t="n">
        <f aca="false">D150</f>
        <v>60322.4</v>
      </c>
      <c r="Y150" s="1" t="n">
        <f aca="false">G150</f>
        <v>89.4</v>
      </c>
      <c r="Z150" s="1" t="n">
        <f aca="false">F150</f>
        <v>0.108</v>
      </c>
      <c r="AA150" s="1" t="n">
        <f aca="false">H150</f>
        <v>3.4</v>
      </c>
      <c r="AB150" s="1" t="n">
        <f aca="false">J150</f>
        <v>0</v>
      </c>
      <c r="AC150" s="1" t="n">
        <f aca="false">K150</f>
        <v>1</v>
      </c>
      <c r="AD150" s="1" t="n">
        <f aca="false">L150</f>
        <v>0</v>
      </c>
    </row>
    <row r="151" customFormat="false" ht="15" hidden="false" customHeight="false" outlineLevel="0" collapsed="false">
      <c r="A151" s="5" t="s">
        <v>72</v>
      </c>
      <c r="B151" s="5" t="s">
        <v>37</v>
      </c>
      <c r="C151" s="5" t="s">
        <v>41</v>
      </c>
      <c r="D151" s="5" t="n">
        <v>51575.68</v>
      </c>
      <c r="E151" s="5" t="n">
        <v>5329</v>
      </c>
      <c r="F151" s="5" t="n">
        <v>0.047</v>
      </c>
      <c r="G151" s="5" t="n">
        <v>88.1</v>
      </c>
      <c r="H151" s="5" t="n">
        <v>3.8</v>
      </c>
      <c r="I151" s="5" t="n">
        <v>614024.91</v>
      </c>
      <c r="J151" s="5" t="n">
        <v>1</v>
      </c>
      <c r="K151" s="5" t="n">
        <v>0</v>
      </c>
      <c r="L151" s="5" t="n">
        <v>0</v>
      </c>
      <c r="P151" s="1" t="n">
        <f aca="false">E151</f>
        <v>5329</v>
      </c>
      <c r="Q151" s="1" t="n">
        <f aca="false">D151</f>
        <v>51575.68</v>
      </c>
      <c r="R151" s="1" t="n">
        <f aca="false">G151</f>
        <v>88.1</v>
      </c>
      <c r="S151" s="1" t="n">
        <f aca="false">J151</f>
        <v>1</v>
      </c>
      <c r="T151" s="1" t="n">
        <f aca="false">K151</f>
        <v>0</v>
      </c>
      <c r="U151" s="1" t="n">
        <f aca="false">L151</f>
        <v>0</v>
      </c>
      <c r="W151" s="1" t="n">
        <f aca="false">E151</f>
        <v>5329</v>
      </c>
      <c r="X151" s="1" t="n">
        <f aca="false">D151</f>
        <v>51575.68</v>
      </c>
      <c r="Y151" s="1" t="n">
        <f aca="false">G151</f>
        <v>88.1</v>
      </c>
      <c r="Z151" s="1" t="n">
        <f aca="false">F151</f>
        <v>0.047</v>
      </c>
      <c r="AA151" s="1" t="n">
        <f aca="false">H151</f>
        <v>3.8</v>
      </c>
      <c r="AB151" s="1" t="n">
        <f aca="false">J151</f>
        <v>1</v>
      </c>
      <c r="AC151" s="1" t="n">
        <f aca="false">K151</f>
        <v>0</v>
      </c>
      <c r="AD151" s="1" t="n">
        <f aca="false">L151</f>
        <v>0</v>
      </c>
    </row>
    <row r="152" customFormat="false" ht="15" hidden="false" customHeight="false" outlineLevel="0" collapsed="false">
      <c r="A152" s="5" t="s">
        <v>72</v>
      </c>
      <c r="B152" s="5" t="s">
        <v>37</v>
      </c>
      <c r="C152" s="5" t="s">
        <v>41</v>
      </c>
      <c r="D152" s="5" t="n">
        <v>43319.94</v>
      </c>
      <c r="E152" s="5" t="n">
        <v>6551</v>
      </c>
      <c r="F152" s="5" t="n">
        <v>0.044</v>
      </c>
      <c r="G152" s="5" t="n">
        <v>99</v>
      </c>
      <c r="H152" s="5" t="n">
        <v>4.1</v>
      </c>
      <c r="I152" s="5" t="n">
        <v>712868.35</v>
      </c>
      <c r="J152" s="5" t="n">
        <v>1</v>
      </c>
      <c r="K152" s="5" t="n">
        <v>0</v>
      </c>
      <c r="L152" s="5" t="n">
        <v>0</v>
      </c>
      <c r="P152" s="1" t="n">
        <f aca="false">E152</f>
        <v>6551</v>
      </c>
      <c r="Q152" s="1" t="n">
        <f aca="false">D152</f>
        <v>43319.94</v>
      </c>
      <c r="R152" s="1" t="n">
        <f aca="false">G152</f>
        <v>99</v>
      </c>
      <c r="S152" s="1" t="n">
        <f aca="false">J152</f>
        <v>1</v>
      </c>
      <c r="T152" s="1" t="n">
        <f aca="false">K152</f>
        <v>0</v>
      </c>
      <c r="U152" s="1" t="n">
        <f aca="false">L152</f>
        <v>0</v>
      </c>
      <c r="W152" s="1" t="n">
        <f aca="false">E152</f>
        <v>6551</v>
      </c>
      <c r="X152" s="1" t="n">
        <f aca="false">D152</f>
        <v>43319.94</v>
      </c>
      <c r="Y152" s="1" t="n">
        <f aca="false">G152</f>
        <v>99</v>
      </c>
      <c r="Z152" s="1" t="n">
        <f aca="false">F152</f>
        <v>0.044</v>
      </c>
      <c r="AA152" s="1" t="n">
        <f aca="false">H152</f>
        <v>4.1</v>
      </c>
      <c r="AB152" s="1" t="n">
        <f aca="false">J152</f>
        <v>1</v>
      </c>
      <c r="AC152" s="1" t="n">
        <f aca="false">K152</f>
        <v>0</v>
      </c>
      <c r="AD152" s="1" t="n">
        <f aca="false">L152</f>
        <v>0</v>
      </c>
    </row>
    <row r="153" customFormat="false" ht="15" hidden="false" customHeight="false" outlineLevel="0" collapsed="false">
      <c r="A153" s="5" t="s">
        <v>72</v>
      </c>
      <c r="B153" s="5" t="s">
        <v>37</v>
      </c>
      <c r="C153" s="5" t="s">
        <v>41</v>
      </c>
      <c r="D153" s="5" t="n">
        <v>47093.55</v>
      </c>
      <c r="E153" s="5" t="n">
        <v>5550</v>
      </c>
      <c r="F153" s="5" t="n">
        <v>0.1</v>
      </c>
      <c r="G153" s="5" t="n">
        <v>95</v>
      </c>
      <c r="H153" s="5" t="n">
        <v>3.7</v>
      </c>
      <c r="I153" s="5" t="n">
        <v>696744.15</v>
      </c>
      <c r="J153" s="5" t="n">
        <v>1</v>
      </c>
      <c r="K153" s="5" t="n">
        <v>0</v>
      </c>
      <c r="L153" s="5" t="n">
        <v>0</v>
      </c>
      <c r="P153" s="1" t="n">
        <f aca="false">E153</f>
        <v>5550</v>
      </c>
      <c r="Q153" s="1" t="n">
        <f aca="false">D153</f>
        <v>47093.55</v>
      </c>
      <c r="R153" s="1" t="n">
        <f aca="false">G153</f>
        <v>95</v>
      </c>
      <c r="S153" s="1" t="n">
        <f aca="false">J153</f>
        <v>1</v>
      </c>
      <c r="T153" s="1" t="n">
        <f aca="false">K153</f>
        <v>0</v>
      </c>
      <c r="U153" s="1" t="n">
        <f aca="false">L153</f>
        <v>0</v>
      </c>
      <c r="W153" s="1" t="n">
        <f aca="false">E153</f>
        <v>5550</v>
      </c>
      <c r="X153" s="1" t="n">
        <f aca="false">D153</f>
        <v>47093.55</v>
      </c>
      <c r="Y153" s="1" t="n">
        <f aca="false">G153</f>
        <v>95</v>
      </c>
      <c r="Z153" s="1" t="n">
        <f aca="false">F153</f>
        <v>0.1</v>
      </c>
      <c r="AA153" s="1" t="n">
        <f aca="false">H153</f>
        <v>3.7</v>
      </c>
      <c r="AB153" s="1" t="n">
        <f aca="false">J153</f>
        <v>1</v>
      </c>
      <c r="AC153" s="1" t="n">
        <f aca="false">K153</f>
        <v>0</v>
      </c>
      <c r="AD153" s="1" t="n">
        <f aca="false">L153</f>
        <v>0</v>
      </c>
    </row>
    <row r="154" customFormat="false" ht="15" hidden="false" customHeight="false" outlineLevel="0" collapsed="false">
      <c r="A154" s="5" t="s">
        <v>72</v>
      </c>
      <c r="B154" s="5" t="s">
        <v>37</v>
      </c>
      <c r="C154" s="5" t="s">
        <v>41</v>
      </c>
      <c r="D154" s="5" t="n">
        <v>71855.09</v>
      </c>
      <c r="E154" s="5" t="n">
        <v>5911</v>
      </c>
      <c r="F154" s="5" t="n">
        <v>0.197</v>
      </c>
      <c r="G154" s="5" t="n">
        <v>94.3</v>
      </c>
      <c r="H154" s="5" t="n">
        <v>4.1</v>
      </c>
      <c r="I154" s="5" t="n">
        <v>725847.99</v>
      </c>
      <c r="J154" s="5" t="n">
        <v>1</v>
      </c>
      <c r="K154" s="5" t="n">
        <v>0</v>
      </c>
      <c r="L154" s="5" t="n">
        <v>0</v>
      </c>
      <c r="P154" s="1" t="n">
        <f aca="false">E154</f>
        <v>5911</v>
      </c>
      <c r="Q154" s="1" t="n">
        <f aca="false">D154</f>
        <v>71855.09</v>
      </c>
      <c r="R154" s="1" t="n">
        <f aca="false">G154</f>
        <v>94.3</v>
      </c>
      <c r="S154" s="1" t="n">
        <f aca="false">J154</f>
        <v>1</v>
      </c>
      <c r="T154" s="1" t="n">
        <f aca="false">K154</f>
        <v>0</v>
      </c>
      <c r="U154" s="1" t="n">
        <f aca="false">L154</f>
        <v>0</v>
      </c>
      <c r="W154" s="1" t="n">
        <f aca="false">E154</f>
        <v>5911</v>
      </c>
      <c r="X154" s="1" t="n">
        <f aca="false">D154</f>
        <v>71855.09</v>
      </c>
      <c r="Y154" s="1" t="n">
        <f aca="false">G154</f>
        <v>94.3</v>
      </c>
      <c r="Z154" s="1" t="n">
        <f aca="false">F154</f>
        <v>0.197</v>
      </c>
      <c r="AA154" s="1" t="n">
        <f aca="false">H154</f>
        <v>4.1</v>
      </c>
      <c r="AB154" s="1" t="n">
        <f aca="false">J154</f>
        <v>1</v>
      </c>
      <c r="AC154" s="1" t="n">
        <f aca="false">K154</f>
        <v>0</v>
      </c>
      <c r="AD154" s="1" t="n">
        <f aca="false">L154</f>
        <v>0</v>
      </c>
    </row>
    <row r="155" customFormat="false" ht="15" hidden="false" customHeight="false" outlineLevel="0" collapsed="false">
      <c r="A155" s="5" t="s">
        <v>73</v>
      </c>
      <c r="B155" s="5" t="s">
        <v>28</v>
      </c>
      <c r="C155" s="5" t="s">
        <v>31</v>
      </c>
      <c r="D155" s="5" t="n">
        <v>75645.23</v>
      </c>
      <c r="E155" s="5" t="n">
        <v>9674</v>
      </c>
      <c r="F155" s="5" t="n">
        <v>0.234</v>
      </c>
      <c r="G155" s="5" t="n">
        <v>87.4</v>
      </c>
      <c r="H155" s="5" t="n">
        <v>4.5</v>
      </c>
      <c r="I155" s="5" t="n">
        <v>785028.25</v>
      </c>
      <c r="J155" s="5" t="n">
        <v>0</v>
      </c>
      <c r="K155" s="5" t="n">
        <v>0</v>
      </c>
      <c r="L155" s="5" t="n">
        <v>0</v>
      </c>
      <c r="P155" s="1" t="n">
        <f aca="false">E155</f>
        <v>9674</v>
      </c>
      <c r="Q155" s="1" t="n">
        <f aca="false">D155</f>
        <v>75645.23</v>
      </c>
      <c r="R155" s="1" t="n">
        <f aca="false">G155</f>
        <v>87.4</v>
      </c>
      <c r="S155" s="1" t="n">
        <f aca="false">J155</f>
        <v>0</v>
      </c>
      <c r="T155" s="1" t="n">
        <f aca="false">K155</f>
        <v>0</v>
      </c>
      <c r="U155" s="1" t="n">
        <f aca="false">L155</f>
        <v>0</v>
      </c>
      <c r="W155" s="1" t="n">
        <f aca="false">E155</f>
        <v>9674</v>
      </c>
      <c r="X155" s="1" t="n">
        <f aca="false">D155</f>
        <v>75645.23</v>
      </c>
      <c r="Y155" s="1" t="n">
        <f aca="false">G155</f>
        <v>87.4</v>
      </c>
      <c r="Z155" s="1" t="n">
        <f aca="false">F155</f>
        <v>0.234</v>
      </c>
      <c r="AA155" s="1" t="n">
        <f aca="false">H155</f>
        <v>4.5</v>
      </c>
      <c r="AB155" s="1" t="n">
        <f aca="false">J155</f>
        <v>0</v>
      </c>
      <c r="AC155" s="1" t="n">
        <f aca="false">K155</f>
        <v>0</v>
      </c>
      <c r="AD155" s="1" t="n">
        <f aca="false">L155</f>
        <v>0</v>
      </c>
    </row>
    <row r="156" customFormat="false" ht="15" hidden="false" customHeight="false" outlineLevel="0" collapsed="false">
      <c r="A156" s="5" t="s">
        <v>73</v>
      </c>
      <c r="B156" s="5" t="s">
        <v>28</v>
      </c>
      <c r="C156" s="5" t="s">
        <v>31</v>
      </c>
      <c r="D156" s="5" t="n">
        <v>64374.75</v>
      </c>
      <c r="E156" s="5" t="n">
        <v>6740</v>
      </c>
      <c r="F156" s="5" t="n">
        <v>0.169</v>
      </c>
      <c r="G156" s="5" t="n">
        <v>87</v>
      </c>
      <c r="H156" s="5" t="n">
        <v>4.2</v>
      </c>
      <c r="I156" s="5" t="n">
        <v>698492.67</v>
      </c>
      <c r="J156" s="5" t="n">
        <v>0</v>
      </c>
      <c r="K156" s="5" t="n">
        <v>0</v>
      </c>
      <c r="L156" s="5" t="n">
        <v>0</v>
      </c>
      <c r="P156" s="1" t="n">
        <f aca="false">E156</f>
        <v>6740</v>
      </c>
      <c r="Q156" s="1" t="n">
        <f aca="false">D156</f>
        <v>64374.75</v>
      </c>
      <c r="R156" s="1" t="n">
        <f aca="false">G156</f>
        <v>87</v>
      </c>
      <c r="S156" s="1" t="n">
        <f aca="false">J156</f>
        <v>0</v>
      </c>
      <c r="T156" s="1" t="n">
        <f aca="false">K156</f>
        <v>0</v>
      </c>
      <c r="U156" s="1" t="n">
        <f aca="false">L156</f>
        <v>0</v>
      </c>
      <c r="W156" s="1" t="n">
        <f aca="false">E156</f>
        <v>6740</v>
      </c>
      <c r="X156" s="1" t="n">
        <f aca="false">D156</f>
        <v>64374.75</v>
      </c>
      <c r="Y156" s="1" t="n">
        <f aca="false">G156</f>
        <v>87</v>
      </c>
      <c r="Z156" s="1" t="n">
        <f aca="false">F156</f>
        <v>0.169</v>
      </c>
      <c r="AA156" s="1" t="n">
        <f aca="false">H156</f>
        <v>4.2</v>
      </c>
      <c r="AB156" s="1" t="n">
        <f aca="false">J156</f>
        <v>0</v>
      </c>
      <c r="AC156" s="1" t="n">
        <f aca="false">K156</f>
        <v>0</v>
      </c>
      <c r="AD156" s="1" t="n">
        <f aca="false">L156</f>
        <v>0</v>
      </c>
    </row>
    <row r="157" customFormat="false" ht="15" hidden="false" customHeight="false" outlineLevel="0" collapsed="false">
      <c r="A157" s="5" t="s">
        <v>73</v>
      </c>
      <c r="B157" s="5" t="s">
        <v>28</v>
      </c>
      <c r="C157" s="5" t="s">
        <v>31</v>
      </c>
      <c r="D157" s="5" t="n">
        <v>61433.84</v>
      </c>
      <c r="E157" s="5" t="n">
        <v>7745</v>
      </c>
      <c r="F157" s="5" t="n">
        <v>0.18</v>
      </c>
      <c r="G157" s="5" t="n">
        <v>90.5</v>
      </c>
      <c r="H157" s="5" t="n">
        <v>4.2</v>
      </c>
      <c r="I157" s="5" t="n">
        <v>685830.24</v>
      </c>
      <c r="J157" s="5" t="n">
        <v>0</v>
      </c>
      <c r="K157" s="5" t="n">
        <v>0</v>
      </c>
      <c r="L157" s="5" t="n">
        <v>0</v>
      </c>
      <c r="P157" s="1" t="n">
        <f aca="false">E157</f>
        <v>7745</v>
      </c>
      <c r="Q157" s="1" t="n">
        <f aca="false">D157</f>
        <v>61433.84</v>
      </c>
      <c r="R157" s="1" t="n">
        <f aca="false">G157</f>
        <v>90.5</v>
      </c>
      <c r="S157" s="1" t="n">
        <f aca="false">J157</f>
        <v>0</v>
      </c>
      <c r="T157" s="1" t="n">
        <f aca="false">K157</f>
        <v>0</v>
      </c>
      <c r="U157" s="1" t="n">
        <f aca="false">L157</f>
        <v>0</v>
      </c>
      <c r="W157" s="1" t="n">
        <f aca="false">E157</f>
        <v>7745</v>
      </c>
      <c r="X157" s="1" t="n">
        <f aca="false">D157</f>
        <v>61433.84</v>
      </c>
      <c r="Y157" s="1" t="n">
        <f aca="false">G157</f>
        <v>90.5</v>
      </c>
      <c r="Z157" s="1" t="n">
        <f aca="false">F157</f>
        <v>0.18</v>
      </c>
      <c r="AA157" s="1" t="n">
        <f aca="false">H157</f>
        <v>4.2</v>
      </c>
      <c r="AB157" s="1" t="n">
        <f aca="false">J157</f>
        <v>0</v>
      </c>
      <c r="AC157" s="1" t="n">
        <f aca="false">K157</f>
        <v>0</v>
      </c>
      <c r="AD157" s="1" t="n">
        <f aca="false">L157</f>
        <v>0</v>
      </c>
    </row>
    <row r="158" customFormat="false" ht="15" hidden="false" customHeight="false" outlineLevel="0" collapsed="false">
      <c r="A158" s="5" t="s">
        <v>73</v>
      </c>
      <c r="B158" s="5" t="s">
        <v>28</v>
      </c>
      <c r="C158" s="5" t="s">
        <v>31</v>
      </c>
      <c r="D158" s="5" t="n">
        <v>42698.14</v>
      </c>
      <c r="E158" s="5" t="n">
        <v>7693</v>
      </c>
      <c r="F158" s="5" t="n">
        <v>0.187</v>
      </c>
      <c r="G158" s="5" t="n">
        <v>90.1</v>
      </c>
      <c r="H158" s="5" t="n">
        <v>4.4</v>
      </c>
      <c r="I158" s="5" t="n">
        <v>702318.94</v>
      </c>
      <c r="J158" s="5" t="n">
        <v>0</v>
      </c>
      <c r="K158" s="5" t="n">
        <v>0</v>
      </c>
      <c r="L158" s="5" t="n">
        <v>0</v>
      </c>
      <c r="P158" s="1" t="n">
        <f aca="false">E158</f>
        <v>7693</v>
      </c>
      <c r="Q158" s="1" t="n">
        <f aca="false">D158</f>
        <v>42698.14</v>
      </c>
      <c r="R158" s="1" t="n">
        <f aca="false">G158</f>
        <v>90.1</v>
      </c>
      <c r="S158" s="1" t="n">
        <f aca="false">J158</f>
        <v>0</v>
      </c>
      <c r="T158" s="1" t="n">
        <f aca="false">K158</f>
        <v>0</v>
      </c>
      <c r="U158" s="1" t="n">
        <f aca="false">L158</f>
        <v>0</v>
      </c>
      <c r="W158" s="1" t="n">
        <f aca="false">E158</f>
        <v>7693</v>
      </c>
      <c r="X158" s="1" t="n">
        <f aca="false">D158</f>
        <v>42698.14</v>
      </c>
      <c r="Y158" s="1" t="n">
        <f aca="false">G158</f>
        <v>90.1</v>
      </c>
      <c r="Z158" s="1" t="n">
        <f aca="false">F158</f>
        <v>0.187</v>
      </c>
      <c r="AA158" s="1" t="n">
        <f aca="false">H158</f>
        <v>4.4</v>
      </c>
      <c r="AB158" s="1" t="n">
        <f aca="false">J158</f>
        <v>0</v>
      </c>
      <c r="AC158" s="1" t="n">
        <f aca="false">K158</f>
        <v>0</v>
      </c>
      <c r="AD158" s="1" t="n">
        <f aca="false">L158</f>
        <v>0</v>
      </c>
    </row>
    <row r="159" customFormat="false" ht="15" hidden="false" customHeight="false" outlineLevel="0" collapsed="false">
      <c r="A159" s="5" t="s">
        <v>74</v>
      </c>
      <c r="B159" s="5" t="s">
        <v>33</v>
      </c>
      <c r="C159" s="5" t="s">
        <v>41</v>
      </c>
      <c r="D159" s="5" t="n">
        <v>86883.31</v>
      </c>
      <c r="E159" s="5" t="n">
        <v>6424</v>
      </c>
      <c r="F159" s="5" t="n">
        <v>0.057</v>
      </c>
      <c r="G159" s="5" t="n">
        <v>85.2</v>
      </c>
      <c r="H159" s="5" t="n">
        <v>3.9</v>
      </c>
      <c r="I159" s="5" t="n">
        <v>700078.32</v>
      </c>
      <c r="J159" s="5" t="n">
        <v>1</v>
      </c>
      <c r="K159" s="5" t="n">
        <v>0</v>
      </c>
      <c r="L159" s="5" t="n">
        <v>0</v>
      </c>
      <c r="P159" s="1" t="n">
        <f aca="false">E159</f>
        <v>6424</v>
      </c>
      <c r="Q159" s="1" t="n">
        <f aca="false">D159</f>
        <v>86883.31</v>
      </c>
      <c r="R159" s="1" t="n">
        <f aca="false">G159</f>
        <v>85.2</v>
      </c>
      <c r="S159" s="1" t="n">
        <f aca="false">J159</f>
        <v>1</v>
      </c>
      <c r="T159" s="1" t="n">
        <f aca="false">K159</f>
        <v>0</v>
      </c>
      <c r="U159" s="1" t="n">
        <f aca="false">L159</f>
        <v>0</v>
      </c>
      <c r="W159" s="1" t="n">
        <f aca="false">E159</f>
        <v>6424</v>
      </c>
      <c r="X159" s="1" t="n">
        <f aca="false">D159</f>
        <v>86883.31</v>
      </c>
      <c r="Y159" s="1" t="n">
        <f aca="false">G159</f>
        <v>85.2</v>
      </c>
      <c r="Z159" s="1" t="n">
        <f aca="false">F159</f>
        <v>0.057</v>
      </c>
      <c r="AA159" s="1" t="n">
        <f aca="false">H159</f>
        <v>3.9</v>
      </c>
      <c r="AB159" s="1" t="n">
        <f aca="false">J159</f>
        <v>1</v>
      </c>
      <c r="AC159" s="1" t="n">
        <f aca="false">K159</f>
        <v>0</v>
      </c>
      <c r="AD159" s="1" t="n">
        <f aca="false">L159</f>
        <v>0</v>
      </c>
    </row>
    <row r="160" customFormat="false" ht="15" hidden="false" customHeight="false" outlineLevel="0" collapsed="false">
      <c r="A160" s="5" t="s">
        <v>74</v>
      </c>
      <c r="B160" s="5" t="s">
        <v>33</v>
      </c>
      <c r="C160" s="5" t="s">
        <v>41</v>
      </c>
      <c r="D160" s="5" t="n">
        <v>41863.08</v>
      </c>
      <c r="E160" s="5" t="n">
        <v>5400</v>
      </c>
      <c r="F160" s="5" t="n">
        <v>0.114</v>
      </c>
      <c r="G160" s="5" t="n">
        <v>91.6</v>
      </c>
      <c r="H160" s="5" t="n">
        <v>3</v>
      </c>
      <c r="I160" s="5" t="n">
        <v>602002.32</v>
      </c>
      <c r="J160" s="5" t="n">
        <v>1</v>
      </c>
      <c r="K160" s="5" t="n">
        <v>0</v>
      </c>
      <c r="L160" s="5" t="n">
        <v>0</v>
      </c>
      <c r="P160" s="1" t="n">
        <f aca="false">E160</f>
        <v>5400</v>
      </c>
      <c r="Q160" s="1" t="n">
        <f aca="false">D160</f>
        <v>41863.08</v>
      </c>
      <c r="R160" s="1" t="n">
        <f aca="false">G160</f>
        <v>91.6</v>
      </c>
      <c r="S160" s="1" t="n">
        <f aca="false">J160</f>
        <v>1</v>
      </c>
      <c r="T160" s="1" t="n">
        <f aca="false">K160</f>
        <v>0</v>
      </c>
      <c r="U160" s="1" t="n">
        <f aca="false">L160</f>
        <v>0</v>
      </c>
      <c r="W160" s="1" t="n">
        <f aca="false">E160</f>
        <v>5400</v>
      </c>
      <c r="X160" s="1" t="n">
        <f aca="false">D160</f>
        <v>41863.08</v>
      </c>
      <c r="Y160" s="1" t="n">
        <f aca="false">G160</f>
        <v>91.6</v>
      </c>
      <c r="Z160" s="1" t="n">
        <f aca="false">F160</f>
        <v>0.114</v>
      </c>
      <c r="AA160" s="1" t="n">
        <f aca="false">H160</f>
        <v>3</v>
      </c>
      <c r="AB160" s="1" t="n">
        <f aca="false">J160</f>
        <v>1</v>
      </c>
      <c r="AC160" s="1" t="n">
        <f aca="false">K160</f>
        <v>0</v>
      </c>
      <c r="AD160" s="1" t="n">
        <f aca="false">L160</f>
        <v>0</v>
      </c>
    </row>
    <row r="161" customFormat="false" ht="15" hidden="false" customHeight="false" outlineLevel="0" collapsed="false">
      <c r="A161" s="5" t="s">
        <v>74</v>
      </c>
      <c r="B161" s="5" t="s">
        <v>33</v>
      </c>
      <c r="C161" s="5" t="s">
        <v>41</v>
      </c>
      <c r="D161" s="5" t="n">
        <v>56918.16</v>
      </c>
      <c r="E161" s="5" t="n">
        <v>7015</v>
      </c>
      <c r="F161" s="5" t="n">
        <v>0.158</v>
      </c>
      <c r="G161" s="5" t="n">
        <v>74.2</v>
      </c>
      <c r="H161" s="5" t="n">
        <v>3.4</v>
      </c>
      <c r="I161" s="5" t="n">
        <v>724216.07</v>
      </c>
      <c r="J161" s="5" t="n">
        <v>1</v>
      </c>
      <c r="K161" s="5" t="n">
        <v>0</v>
      </c>
      <c r="L161" s="5" t="n">
        <v>0</v>
      </c>
      <c r="P161" s="1" t="n">
        <f aca="false">E161</f>
        <v>7015</v>
      </c>
      <c r="Q161" s="1" t="n">
        <f aca="false">D161</f>
        <v>56918.16</v>
      </c>
      <c r="R161" s="1" t="n">
        <f aca="false">G161</f>
        <v>74.2</v>
      </c>
      <c r="S161" s="1" t="n">
        <f aca="false">J161</f>
        <v>1</v>
      </c>
      <c r="T161" s="1" t="n">
        <f aca="false">K161</f>
        <v>0</v>
      </c>
      <c r="U161" s="1" t="n">
        <f aca="false">L161</f>
        <v>0</v>
      </c>
      <c r="W161" s="1" t="n">
        <f aca="false">E161</f>
        <v>7015</v>
      </c>
      <c r="X161" s="1" t="n">
        <f aca="false">D161</f>
        <v>56918.16</v>
      </c>
      <c r="Y161" s="1" t="n">
        <f aca="false">G161</f>
        <v>74.2</v>
      </c>
      <c r="Z161" s="1" t="n">
        <f aca="false">F161</f>
        <v>0.158</v>
      </c>
      <c r="AA161" s="1" t="n">
        <f aca="false">H161</f>
        <v>3.4</v>
      </c>
      <c r="AB161" s="1" t="n">
        <f aca="false">J161</f>
        <v>1</v>
      </c>
      <c r="AC161" s="1" t="n">
        <f aca="false">K161</f>
        <v>0</v>
      </c>
      <c r="AD161" s="1" t="n">
        <f aca="false">L161</f>
        <v>0</v>
      </c>
    </row>
    <row r="162" customFormat="false" ht="15" hidden="false" customHeight="false" outlineLevel="0" collapsed="false">
      <c r="A162" s="5" t="s">
        <v>74</v>
      </c>
      <c r="B162" s="5" t="s">
        <v>33</v>
      </c>
      <c r="C162" s="5" t="s">
        <v>41</v>
      </c>
      <c r="D162" s="5" t="n">
        <v>23254.57</v>
      </c>
      <c r="E162" s="5" t="n">
        <v>3847</v>
      </c>
      <c r="F162" s="5" t="n">
        <v>0.159</v>
      </c>
      <c r="G162" s="5" t="n">
        <v>93</v>
      </c>
      <c r="H162" s="5" t="n">
        <v>3.3</v>
      </c>
      <c r="I162" s="5" t="n">
        <v>620973.03</v>
      </c>
      <c r="J162" s="5" t="n">
        <v>1</v>
      </c>
      <c r="K162" s="5" t="n">
        <v>0</v>
      </c>
      <c r="L162" s="5" t="n">
        <v>0</v>
      </c>
      <c r="P162" s="1" t="n">
        <f aca="false">E162</f>
        <v>3847</v>
      </c>
      <c r="Q162" s="1" t="n">
        <f aca="false">D162</f>
        <v>23254.57</v>
      </c>
      <c r="R162" s="1" t="n">
        <f aca="false">G162</f>
        <v>93</v>
      </c>
      <c r="S162" s="1" t="n">
        <f aca="false">J162</f>
        <v>1</v>
      </c>
      <c r="T162" s="1" t="n">
        <f aca="false">K162</f>
        <v>0</v>
      </c>
      <c r="U162" s="1" t="n">
        <f aca="false">L162</f>
        <v>0</v>
      </c>
      <c r="W162" s="1" t="n">
        <f aca="false">E162</f>
        <v>3847</v>
      </c>
      <c r="X162" s="1" t="n">
        <f aca="false">D162</f>
        <v>23254.57</v>
      </c>
      <c r="Y162" s="1" t="n">
        <f aca="false">G162</f>
        <v>93</v>
      </c>
      <c r="Z162" s="1" t="n">
        <f aca="false">F162</f>
        <v>0.159</v>
      </c>
      <c r="AA162" s="1" t="n">
        <f aca="false">H162</f>
        <v>3.3</v>
      </c>
      <c r="AB162" s="1" t="n">
        <f aca="false">J162</f>
        <v>1</v>
      </c>
      <c r="AC162" s="1" t="n">
        <f aca="false">K162</f>
        <v>0</v>
      </c>
      <c r="AD162" s="1" t="n">
        <f aca="false">L162</f>
        <v>0</v>
      </c>
    </row>
    <row r="163" customFormat="false" ht="15" hidden="false" customHeight="false" outlineLevel="0" collapsed="false">
      <c r="A163" s="5" t="s">
        <v>75</v>
      </c>
      <c r="B163" s="5" t="s">
        <v>37</v>
      </c>
      <c r="C163" s="5" t="s">
        <v>31</v>
      </c>
      <c r="D163" s="5" t="n">
        <v>41443.41</v>
      </c>
      <c r="E163" s="5" t="n">
        <v>7455</v>
      </c>
      <c r="F163" s="5" t="n">
        <v>0.175</v>
      </c>
      <c r="G163" s="5" t="n">
        <v>90.1</v>
      </c>
      <c r="H163" s="5" t="n">
        <v>4</v>
      </c>
      <c r="I163" s="5" t="n">
        <v>650480.06</v>
      </c>
      <c r="J163" s="5" t="n">
        <v>0</v>
      </c>
      <c r="K163" s="5" t="n">
        <v>0</v>
      </c>
      <c r="L163" s="5" t="n">
        <v>0</v>
      </c>
      <c r="P163" s="1" t="n">
        <f aca="false">E163</f>
        <v>7455</v>
      </c>
      <c r="Q163" s="1" t="n">
        <f aca="false">D163</f>
        <v>41443.41</v>
      </c>
      <c r="R163" s="1" t="n">
        <f aca="false">G163</f>
        <v>90.1</v>
      </c>
      <c r="S163" s="1" t="n">
        <f aca="false">J163</f>
        <v>0</v>
      </c>
      <c r="T163" s="1" t="n">
        <f aca="false">K163</f>
        <v>0</v>
      </c>
      <c r="U163" s="1" t="n">
        <f aca="false">L163</f>
        <v>0</v>
      </c>
      <c r="W163" s="1" t="n">
        <f aca="false">E163</f>
        <v>7455</v>
      </c>
      <c r="X163" s="1" t="n">
        <f aca="false">D163</f>
        <v>41443.41</v>
      </c>
      <c r="Y163" s="1" t="n">
        <f aca="false">G163</f>
        <v>90.1</v>
      </c>
      <c r="Z163" s="1" t="n">
        <f aca="false">F163</f>
        <v>0.175</v>
      </c>
      <c r="AA163" s="1" t="n">
        <f aca="false">H163</f>
        <v>4</v>
      </c>
      <c r="AB163" s="1" t="n">
        <f aca="false">J163</f>
        <v>0</v>
      </c>
      <c r="AC163" s="1" t="n">
        <f aca="false">K163</f>
        <v>0</v>
      </c>
      <c r="AD163" s="1" t="n">
        <f aca="false">L163</f>
        <v>0</v>
      </c>
    </row>
    <row r="164" customFormat="false" ht="15" hidden="false" customHeight="false" outlineLevel="0" collapsed="false">
      <c r="A164" s="5" t="s">
        <v>75</v>
      </c>
      <c r="B164" s="5" t="s">
        <v>37</v>
      </c>
      <c r="C164" s="5" t="s">
        <v>31</v>
      </c>
      <c r="D164" s="5" t="n">
        <v>48438.85</v>
      </c>
      <c r="E164" s="5" t="n">
        <v>6992</v>
      </c>
      <c r="F164" s="5" t="n">
        <v>0.034</v>
      </c>
      <c r="G164" s="5" t="n">
        <v>91</v>
      </c>
      <c r="H164" s="5" t="n">
        <v>4.2</v>
      </c>
      <c r="I164" s="5" t="n">
        <v>778298.88</v>
      </c>
      <c r="J164" s="5" t="n">
        <v>0</v>
      </c>
      <c r="K164" s="5" t="n">
        <v>0</v>
      </c>
      <c r="L164" s="5" t="n">
        <v>0</v>
      </c>
      <c r="P164" s="1" t="n">
        <f aca="false">E164</f>
        <v>6992</v>
      </c>
      <c r="Q164" s="1" t="n">
        <f aca="false">D164</f>
        <v>48438.85</v>
      </c>
      <c r="R164" s="1" t="n">
        <f aca="false">G164</f>
        <v>91</v>
      </c>
      <c r="S164" s="1" t="n">
        <f aca="false">J164</f>
        <v>0</v>
      </c>
      <c r="T164" s="1" t="n">
        <f aca="false">K164</f>
        <v>0</v>
      </c>
      <c r="U164" s="1" t="n">
        <f aca="false">L164</f>
        <v>0</v>
      </c>
      <c r="W164" s="1" t="n">
        <f aca="false">E164</f>
        <v>6992</v>
      </c>
      <c r="X164" s="1" t="n">
        <f aca="false">D164</f>
        <v>48438.85</v>
      </c>
      <c r="Y164" s="1" t="n">
        <f aca="false">G164</f>
        <v>91</v>
      </c>
      <c r="Z164" s="1" t="n">
        <f aca="false">F164</f>
        <v>0.034</v>
      </c>
      <c r="AA164" s="1" t="n">
        <f aca="false">H164</f>
        <v>4.2</v>
      </c>
      <c r="AB164" s="1" t="n">
        <f aca="false">J164</f>
        <v>0</v>
      </c>
      <c r="AC164" s="1" t="n">
        <f aca="false">K164</f>
        <v>0</v>
      </c>
      <c r="AD164" s="1" t="n">
        <f aca="false">L164</f>
        <v>0</v>
      </c>
    </row>
    <row r="165" customFormat="false" ht="15" hidden="false" customHeight="false" outlineLevel="0" collapsed="false">
      <c r="A165" s="5" t="s">
        <v>75</v>
      </c>
      <c r="B165" s="5" t="s">
        <v>37</v>
      </c>
      <c r="C165" s="5" t="s">
        <v>31</v>
      </c>
      <c r="D165" s="5" t="n">
        <v>57143.3</v>
      </c>
      <c r="E165" s="5" t="n">
        <v>8038</v>
      </c>
      <c r="F165" s="5" t="n">
        <v>0.193</v>
      </c>
      <c r="G165" s="5" t="n">
        <v>72.6</v>
      </c>
      <c r="H165" s="5" t="n">
        <v>4.2</v>
      </c>
      <c r="I165" s="5" t="n">
        <v>677096.71</v>
      </c>
      <c r="J165" s="5" t="n">
        <v>0</v>
      </c>
      <c r="K165" s="5" t="n">
        <v>0</v>
      </c>
      <c r="L165" s="5" t="n">
        <v>0</v>
      </c>
      <c r="P165" s="1" t="n">
        <f aca="false">E165</f>
        <v>8038</v>
      </c>
      <c r="Q165" s="1" t="n">
        <f aca="false">D165</f>
        <v>57143.3</v>
      </c>
      <c r="R165" s="1" t="n">
        <f aca="false">G165</f>
        <v>72.6</v>
      </c>
      <c r="S165" s="1" t="n">
        <f aca="false">J165</f>
        <v>0</v>
      </c>
      <c r="T165" s="1" t="n">
        <f aca="false">K165</f>
        <v>0</v>
      </c>
      <c r="U165" s="1" t="n">
        <f aca="false">L165</f>
        <v>0</v>
      </c>
      <c r="W165" s="1" t="n">
        <f aca="false">E165</f>
        <v>8038</v>
      </c>
      <c r="X165" s="1" t="n">
        <f aca="false">D165</f>
        <v>57143.3</v>
      </c>
      <c r="Y165" s="1" t="n">
        <f aca="false">G165</f>
        <v>72.6</v>
      </c>
      <c r="Z165" s="1" t="n">
        <f aca="false">F165</f>
        <v>0.193</v>
      </c>
      <c r="AA165" s="1" t="n">
        <f aca="false">H165</f>
        <v>4.2</v>
      </c>
      <c r="AB165" s="1" t="n">
        <f aca="false">J165</f>
        <v>0</v>
      </c>
      <c r="AC165" s="1" t="n">
        <f aca="false">K165</f>
        <v>0</v>
      </c>
      <c r="AD165" s="1" t="n">
        <f aca="false">L165</f>
        <v>0</v>
      </c>
    </row>
    <row r="166" customFormat="false" ht="15" hidden="false" customHeight="false" outlineLevel="0" collapsed="false">
      <c r="A166" s="5" t="s">
        <v>75</v>
      </c>
      <c r="B166" s="5" t="s">
        <v>37</v>
      </c>
      <c r="C166" s="5" t="s">
        <v>31</v>
      </c>
      <c r="D166" s="5" t="n">
        <v>66870.62</v>
      </c>
      <c r="E166" s="5" t="n">
        <v>6055</v>
      </c>
      <c r="F166" s="5" t="n">
        <v>0.075</v>
      </c>
      <c r="G166" s="5" t="n">
        <v>93.8</v>
      </c>
      <c r="H166" s="5" t="n">
        <v>4.3</v>
      </c>
      <c r="I166" s="5" t="n">
        <v>692008.64</v>
      </c>
      <c r="J166" s="5" t="n">
        <v>0</v>
      </c>
      <c r="K166" s="5" t="n">
        <v>0</v>
      </c>
      <c r="L166" s="5" t="n">
        <v>0</v>
      </c>
      <c r="P166" s="1" t="n">
        <f aca="false">E166</f>
        <v>6055</v>
      </c>
      <c r="Q166" s="1" t="n">
        <f aca="false">D166</f>
        <v>66870.62</v>
      </c>
      <c r="R166" s="1" t="n">
        <f aca="false">G166</f>
        <v>93.8</v>
      </c>
      <c r="S166" s="1" t="n">
        <f aca="false">J166</f>
        <v>0</v>
      </c>
      <c r="T166" s="1" t="n">
        <f aca="false">K166</f>
        <v>0</v>
      </c>
      <c r="U166" s="1" t="n">
        <f aca="false">L166</f>
        <v>0</v>
      </c>
      <c r="W166" s="1" t="n">
        <f aca="false">E166</f>
        <v>6055</v>
      </c>
      <c r="X166" s="1" t="n">
        <f aca="false">D166</f>
        <v>66870.62</v>
      </c>
      <c r="Y166" s="1" t="n">
        <f aca="false">G166</f>
        <v>93.8</v>
      </c>
      <c r="Z166" s="1" t="n">
        <f aca="false">F166</f>
        <v>0.075</v>
      </c>
      <c r="AA166" s="1" t="n">
        <f aca="false">H166</f>
        <v>4.3</v>
      </c>
      <c r="AB166" s="1" t="n">
        <f aca="false">J166</f>
        <v>0</v>
      </c>
      <c r="AC166" s="1" t="n">
        <f aca="false">K166</f>
        <v>0</v>
      </c>
      <c r="AD166" s="1" t="n">
        <f aca="false">L166</f>
        <v>0</v>
      </c>
    </row>
    <row r="167" customFormat="false" ht="15" hidden="false" customHeight="false" outlineLevel="0" collapsed="false">
      <c r="A167" s="5" t="s">
        <v>76</v>
      </c>
      <c r="B167" s="5" t="s">
        <v>33</v>
      </c>
      <c r="C167" s="5" t="s">
        <v>41</v>
      </c>
      <c r="D167" s="5" t="n">
        <v>72150.53</v>
      </c>
      <c r="E167" s="5" t="n">
        <v>9323</v>
      </c>
      <c r="F167" s="5" t="n">
        <v>0.157</v>
      </c>
      <c r="G167" s="5" t="n">
        <v>82.9</v>
      </c>
      <c r="H167" s="5" t="n">
        <v>4.3</v>
      </c>
      <c r="I167" s="5" t="n">
        <v>825797.91</v>
      </c>
      <c r="J167" s="5" t="n">
        <v>1</v>
      </c>
      <c r="K167" s="5" t="n">
        <v>0</v>
      </c>
      <c r="L167" s="5" t="n">
        <v>0</v>
      </c>
      <c r="P167" s="1" t="n">
        <f aca="false">E167</f>
        <v>9323</v>
      </c>
      <c r="Q167" s="1" t="n">
        <f aca="false">D167</f>
        <v>72150.53</v>
      </c>
      <c r="R167" s="1" t="n">
        <f aca="false">G167</f>
        <v>82.9</v>
      </c>
      <c r="S167" s="1" t="n">
        <f aca="false">J167</f>
        <v>1</v>
      </c>
      <c r="T167" s="1" t="n">
        <f aca="false">K167</f>
        <v>0</v>
      </c>
      <c r="U167" s="1" t="n">
        <f aca="false">L167</f>
        <v>0</v>
      </c>
      <c r="W167" s="1" t="n">
        <f aca="false">E167</f>
        <v>9323</v>
      </c>
      <c r="X167" s="1" t="n">
        <f aca="false">D167</f>
        <v>72150.53</v>
      </c>
      <c r="Y167" s="1" t="n">
        <f aca="false">G167</f>
        <v>82.9</v>
      </c>
      <c r="Z167" s="1" t="n">
        <f aca="false">F167</f>
        <v>0.157</v>
      </c>
      <c r="AA167" s="1" t="n">
        <f aca="false">H167</f>
        <v>4.3</v>
      </c>
      <c r="AB167" s="1" t="n">
        <f aca="false">J167</f>
        <v>1</v>
      </c>
      <c r="AC167" s="1" t="n">
        <f aca="false">K167</f>
        <v>0</v>
      </c>
      <c r="AD167" s="1" t="n">
        <f aca="false">L167</f>
        <v>0</v>
      </c>
    </row>
    <row r="168" customFormat="false" ht="15" hidden="false" customHeight="false" outlineLevel="0" collapsed="false">
      <c r="A168" s="5" t="s">
        <v>76</v>
      </c>
      <c r="B168" s="5" t="s">
        <v>33</v>
      </c>
      <c r="C168" s="5" t="s">
        <v>41</v>
      </c>
      <c r="D168" s="5" t="n">
        <v>35303.3</v>
      </c>
      <c r="E168" s="5" t="n">
        <v>8789</v>
      </c>
      <c r="F168" s="5" t="n">
        <v>0.123</v>
      </c>
      <c r="G168" s="5" t="n">
        <v>86.1</v>
      </c>
      <c r="H168" s="5" t="n">
        <v>4.2</v>
      </c>
      <c r="I168" s="5" t="n">
        <v>706285.52</v>
      </c>
      <c r="J168" s="5" t="n">
        <v>1</v>
      </c>
      <c r="K168" s="5" t="n">
        <v>0</v>
      </c>
      <c r="L168" s="5" t="n">
        <v>0</v>
      </c>
      <c r="P168" s="1" t="n">
        <f aca="false">E168</f>
        <v>8789</v>
      </c>
      <c r="Q168" s="1" t="n">
        <f aca="false">D168</f>
        <v>35303.3</v>
      </c>
      <c r="R168" s="1" t="n">
        <f aca="false">G168</f>
        <v>86.1</v>
      </c>
      <c r="S168" s="1" t="n">
        <f aca="false">J168</f>
        <v>1</v>
      </c>
      <c r="T168" s="1" t="n">
        <f aca="false">K168</f>
        <v>0</v>
      </c>
      <c r="U168" s="1" t="n">
        <f aca="false">L168</f>
        <v>0</v>
      </c>
      <c r="W168" s="1" t="n">
        <f aca="false">E168</f>
        <v>8789</v>
      </c>
      <c r="X168" s="1" t="n">
        <f aca="false">D168</f>
        <v>35303.3</v>
      </c>
      <c r="Y168" s="1" t="n">
        <f aca="false">G168</f>
        <v>86.1</v>
      </c>
      <c r="Z168" s="1" t="n">
        <f aca="false">F168</f>
        <v>0.123</v>
      </c>
      <c r="AA168" s="1" t="n">
        <f aca="false">H168</f>
        <v>4.2</v>
      </c>
      <c r="AB168" s="1" t="n">
        <f aca="false">J168</f>
        <v>1</v>
      </c>
      <c r="AC168" s="1" t="n">
        <f aca="false">K168</f>
        <v>0</v>
      </c>
      <c r="AD168" s="1" t="n">
        <f aca="false">L168</f>
        <v>0</v>
      </c>
    </row>
    <row r="169" customFormat="false" ht="15" hidden="false" customHeight="false" outlineLevel="0" collapsed="false">
      <c r="A169" s="5" t="s">
        <v>76</v>
      </c>
      <c r="B169" s="5" t="s">
        <v>33</v>
      </c>
      <c r="C169" s="5" t="s">
        <v>41</v>
      </c>
      <c r="D169" s="5" t="n">
        <v>30301.86</v>
      </c>
      <c r="E169" s="5" t="n">
        <v>6939</v>
      </c>
      <c r="F169" s="5" t="n">
        <v>0.09</v>
      </c>
      <c r="G169" s="5" t="n">
        <v>90.3</v>
      </c>
      <c r="H169" s="5" t="n">
        <v>4</v>
      </c>
      <c r="I169" s="5" t="n">
        <v>665534.7</v>
      </c>
      <c r="J169" s="5" t="n">
        <v>1</v>
      </c>
      <c r="K169" s="5" t="n">
        <v>0</v>
      </c>
      <c r="L169" s="5" t="n">
        <v>0</v>
      </c>
      <c r="P169" s="1" t="n">
        <f aca="false">E169</f>
        <v>6939</v>
      </c>
      <c r="Q169" s="1" t="n">
        <f aca="false">D169</f>
        <v>30301.86</v>
      </c>
      <c r="R169" s="1" t="n">
        <f aca="false">G169</f>
        <v>90.3</v>
      </c>
      <c r="S169" s="1" t="n">
        <f aca="false">J169</f>
        <v>1</v>
      </c>
      <c r="T169" s="1" t="n">
        <f aca="false">K169</f>
        <v>0</v>
      </c>
      <c r="U169" s="1" t="n">
        <f aca="false">L169</f>
        <v>0</v>
      </c>
      <c r="W169" s="1" t="n">
        <f aca="false">E169</f>
        <v>6939</v>
      </c>
      <c r="X169" s="1" t="n">
        <f aca="false">D169</f>
        <v>30301.86</v>
      </c>
      <c r="Y169" s="1" t="n">
        <f aca="false">G169</f>
        <v>90.3</v>
      </c>
      <c r="Z169" s="1" t="n">
        <f aca="false">F169</f>
        <v>0.09</v>
      </c>
      <c r="AA169" s="1" t="n">
        <f aca="false">H169</f>
        <v>4</v>
      </c>
      <c r="AB169" s="1" t="n">
        <f aca="false">J169</f>
        <v>1</v>
      </c>
      <c r="AC169" s="1" t="n">
        <f aca="false">K169</f>
        <v>0</v>
      </c>
      <c r="AD169" s="1" t="n">
        <f aca="false">L169</f>
        <v>0</v>
      </c>
    </row>
    <row r="170" customFormat="false" ht="15" hidden="false" customHeight="false" outlineLevel="0" collapsed="false">
      <c r="A170" s="5" t="s">
        <v>76</v>
      </c>
      <c r="B170" s="5" t="s">
        <v>33</v>
      </c>
      <c r="C170" s="5" t="s">
        <v>41</v>
      </c>
      <c r="D170" s="5" t="n">
        <v>78432.14</v>
      </c>
      <c r="E170" s="5" t="n">
        <v>9440</v>
      </c>
      <c r="F170" s="5" t="n">
        <v>0.126</v>
      </c>
      <c r="G170" s="5" t="n">
        <v>89.2</v>
      </c>
      <c r="H170" s="5" t="n">
        <v>4.1</v>
      </c>
      <c r="I170" s="5" t="n">
        <v>820729.29</v>
      </c>
      <c r="J170" s="5" t="n">
        <v>1</v>
      </c>
      <c r="K170" s="5" t="n">
        <v>0</v>
      </c>
      <c r="L170" s="5" t="n">
        <v>0</v>
      </c>
      <c r="P170" s="1" t="n">
        <f aca="false">E170</f>
        <v>9440</v>
      </c>
      <c r="Q170" s="1" t="n">
        <f aca="false">D170</f>
        <v>78432.14</v>
      </c>
      <c r="R170" s="1" t="n">
        <f aca="false">G170</f>
        <v>89.2</v>
      </c>
      <c r="S170" s="1" t="n">
        <f aca="false">J170</f>
        <v>1</v>
      </c>
      <c r="T170" s="1" t="n">
        <f aca="false">K170</f>
        <v>0</v>
      </c>
      <c r="U170" s="1" t="n">
        <f aca="false">L170</f>
        <v>0</v>
      </c>
      <c r="W170" s="1" t="n">
        <f aca="false">E170</f>
        <v>9440</v>
      </c>
      <c r="X170" s="1" t="n">
        <f aca="false">D170</f>
        <v>78432.14</v>
      </c>
      <c r="Y170" s="1" t="n">
        <f aca="false">G170</f>
        <v>89.2</v>
      </c>
      <c r="Z170" s="1" t="n">
        <f aca="false">F170</f>
        <v>0.126</v>
      </c>
      <c r="AA170" s="1" t="n">
        <f aca="false">H170</f>
        <v>4.1</v>
      </c>
      <c r="AB170" s="1" t="n">
        <f aca="false">J170</f>
        <v>1</v>
      </c>
      <c r="AC170" s="1" t="n">
        <f aca="false">K170</f>
        <v>0</v>
      </c>
      <c r="AD170" s="1" t="n">
        <f aca="false">L170</f>
        <v>0</v>
      </c>
    </row>
    <row r="171" customFormat="false" ht="15" hidden="false" customHeight="false" outlineLevel="0" collapsed="false">
      <c r="A171" s="5" t="s">
        <v>77</v>
      </c>
      <c r="B171" s="5" t="s">
        <v>28</v>
      </c>
      <c r="C171" s="5" t="s">
        <v>29</v>
      </c>
      <c r="D171" s="5" t="n">
        <v>62059.18</v>
      </c>
      <c r="E171" s="5" t="n">
        <v>9374</v>
      </c>
      <c r="F171" s="5" t="n">
        <v>0.136</v>
      </c>
      <c r="G171" s="5" t="n">
        <v>87.1</v>
      </c>
      <c r="H171" s="5" t="n">
        <v>4.9</v>
      </c>
      <c r="I171" s="5" t="n">
        <v>739831.73</v>
      </c>
      <c r="J171" s="5" t="n">
        <v>0</v>
      </c>
      <c r="K171" s="5" t="n">
        <v>1</v>
      </c>
      <c r="L171" s="5" t="n">
        <v>0</v>
      </c>
      <c r="P171" s="1" t="n">
        <f aca="false">E171</f>
        <v>9374</v>
      </c>
      <c r="Q171" s="1" t="n">
        <f aca="false">D171</f>
        <v>62059.18</v>
      </c>
      <c r="R171" s="1" t="n">
        <f aca="false">G171</f>
        <v>87.1</v>
      </c>
      <c r="S171" s="1" t="n">
        <f aca="false">J171</f>
        <v>0</v>
      </c>
      <c r="T171" s="1" t="n">
        <f aca="false">K171</f>
        <v>1</v>
      </c>
      <c r="U171" s="1" t="n">
        <f aca="false">L171</f>
        <v>0</v>
      </c>
      <c r="W171" s="1" t="n">
        <f aca="false">E171</f>
        <v>9374</v>
      </c>
      <c r="X171" s="1" t="n">
        <f aca="false">D171</f>
        <v>62059.18</v>
      </c>
      <c r="Y171" s="1" t="n">
        <f aca="false">G171</f>
        <v>87.1</v>
      </c>
      <c r="Z171" s="1" t="n">
        <f aca="false">F171</f>
        <v>0.136</v>
      </c>
      <c r="AA171" s="1" t="n">
        <f aca="false">H171</f>
        <v>4.9</v>
      </c>
      <c r="AB171" s="1" t="n">
        <f aca="false">J171</f>
        <v>0</v>
      </c>
      <c r="AC171" s="1" t="n">
        <f aca="false">K171</f>
        <v>1</v>
      </c>
      <c r="AD171" s="1" t="n">
        <f aca="false">L171</f>
        <v>0</v>
      </c>
    </row>
    <row r="172" customFormat="false" ht="15" hidden="false" customHeight="false" outlineLevel="0" collapsed="false">
      <c r="A172" s="5" t="s">
        <v>77</v>
      </c>
      <c r="B172" s="5" t="s">
        <v>28</v>
      </c>
      <c r="C172" s="5" t="s">
        <v>29</v>
      </c>
      <c r="D172" s="5" t="n">
        <v>32834.48</v>
      </c>
      <c r="E172" s="5" t="n">
        <v>7576</v>
      </c>
      <c r="F172" s="5" t="n">
        <v>0.099</v>
      </c>
      <c r="G172" s="5" t="n">
        <v>84.1</v>
      </c>
      <c r="H172" s="5" t="n">
        <v>5</v>
      </c>
      <c r="I172" s="5" t="n">
        <v>593637.14</v>
      </c>
      <c r="J172" s="5" t="n">
        <v>0</v>
      </c>
      <c r="K172" s="5" t="n">
        <v>1</v>
      </c>
      <c r="L172" s="5" t="n">
        <v>0</v>
      </c>
      <c r="P172" s="1" t="n">
        <f aca="false">E172</f>
        <v>7576</v>
      </c>
      <c r="Q172" s="1" t="n">
        <f aca="false">D172</f>
        <v>32834.48</v>
      </c>
      <c r="R172" s="1" t="n">
        <f aca="false">G172</f>
        <v>84.1</v>
      </c>
      <c r="S172" s="1" t="n">
        <f aca="false">J172</f>
        <v>0</v>
      </c>
      <c r="T172" s="1" t="n">
        <f aca="false">K172</f>
        <v>1</v>
      </c>
      <c r="U172" s="1" t="n">
        <f aca="false">L172</f>
        <v>0</v>
      </c>
      <c r="W172" s="1" t="n">
        <f aca="false">E172</f>
        <v>7576</v>
      </c>
      <c r="X172" s="1" t="n">
        <f aca="false">D172</f>
        <v>32834.48</v>
      </c>
      <c r="Y172" s="1" t="n">
        <f aca="false">G172</f>
        <v>84.1</v>
      </c>
      <c r="Z172" s="1" t="n">
        <f aca="false">F172</f>
        <v>0.099</v>
      </c>
      <c r="AA172" s="1" t="n">
        <f aca="false">H172</f>
        <v>5</v>
      </c>
      <c r="AB172" s="1" t="n">
        <f aca="false">J172</f>
        <v>0</v>
      </c>
      <c r="AC172" s="1" t="n">
        <f aca="false">K172</f>
        <v>1</v>
      </c>
      <c r="AD172" s="1" t="n">
        <f aca="false">L172</f>
        <v>0</v>
      </c>
    </row>
    <row r="173" customFormat="false" ht="15" hidden="false" customHeight="false" outlineLevel="0" collapsed="false">
      <c r="A173" s="5" t="s">
        <v>77</v>
      </c>
      <c r="B173" s="5" t="s">
        <v>28</v>
      </c>
      <c r="C173" s="5" t="s">
        <v>29</v>
      </c>
      <c r="D173" s="5" t="n">
        <v>50825.08</v>
      </c>
      <c r="E173" s="5" t="n">
        <v>8949</v>
      </c>
      <c r="F173" s="5" t="n">
        <v>0.157</v>
      </c>
      <c r="G173" s="5" t="n">
        <v>84.7</v>
      </c>
      <c r="H173" s="5" t="n">
        <v>4.9</v>
      </c>
      <c r="I173" s="5" t="n">
        <v>769702.76</v>
      </c>
      <c r="J173" s="5" t="n">
        <v>0</v>
      </c>
      <c r="K173" s="5" t="n">
        <v>1</v>
      </c>
      <c r="L173" s="5" t="n">
        <v>0</v>
      </c>
      <c r="P173" s="1" t="n">
        <f aca="false">E173</f>
        <v>8949</v>
      </c>
      <c r="Q173" s="1" t="n">
        <f aca="false">D173</f>
        <v>50825.08</v>
      </c>
      <c r="R173" s="1" t="n">
        <f aca="false">G173</f>
        <v>84.7</v>
      </c>
      <c r="S173" s="1" t="n">
        <f aca="false">J173</f>
        <v>0</v>
      </c>
      <c r="T173" s="1" t="n">
        <f aca="false">K173</f>
        <v>1</v>
      </c>
      <c r="U173" s="1" t="n">
        <f aca="false">L173</f>
        <v>0</v>
      </c>
      <c r="W173" s="1" t="n">
        <f aca="false">E173</f>
        <v>8949</v>
      </c>
      <c r="X173" s="1" t="n">
        <f aca="false">D173</f>
        <v>50825.08</v>
      </c>
      <c r="Y173" s="1" t="n">
        <f aca="false">G173</f>
        <v>84.7</v>
      </c>
      <c r="Z173" s="1" t="n">
        <f aca="false">F173</f>
        <v>0.157</v>
      </c>
      <c r="AA173" s="1" t="n">
        <f aca="false">H173</f>
        <v>4.9</v>
      </c>
      <c r="AB173" s="1" t="n">
        <f aca="false">J173</f>
        <v>0</v>
      </c>
      <c r="AC173" s="1" t="n">
        <f aca="false">K173</f>
        <v>1</v>
      </c>
      <c r="AD173" s="1" t="n">
        <f aca="false">L173</f>
        <v>0</v>
      </c>
    </row>
    <row r="174" customFormat="false" ht="15" hidden="false" customHeight="false" outlineLevel="0" collapsed="false">
      <c r="A174" s="5" t="s">
        <v>77</v>
      </c>
      <c r="B174" s="5" t="s">
        <v>28</v>
      </c>
      <c r="C174" s="5" t="s">
        <v>29</v>
      </c>
      <c r="D174" s="5" t="n">
        <v>36606.51</v>
      </c>
      <c r="E174" s="5" t="n">
        <v>7671</v>
      </c>
      <c r="F174" s="5" t="n">
        <v>0.118</v>
      </c>
      <c r="G174" s="5" t="n">
        <v>89.8</v>
      </c>
      <c r="H174" s="5" t="n">
        <v>4.4</v>
      </c>
      <c r="I174" s="5" t="n">
        <v>679731.57</v>
      </c>
      <c r="J174" s="5" t="n">
        <v>0</v>
      </c>
      <c r="K174" s="5" t="n">
        <v>1</v>
      </c>
      <c r="L174" s="5" t="n">
        <v>0</v>
      </c>
      <c r="P174" s="1" t="n">
        <f aca="false">E174</f>
        <v>7671</v>
      </c>
      <c r="Q174" s="1" t="n">
        <f aca="false">D174</f>
        <v>36606.51</v>
      </c>
      <c r="R174" s="1" t="n">
        <f aca="false">G174</f>
        <v>89.8</v>
      </c>
      <c r="S174" s="1" t="n">
        <f aca="false">J174</f>
        <v>0</v>
      </c>
      <c r="T174" s="1" t="n">
        <f aca="false">K174</f>
        <v>1</v>
      </c>
      <c r="U174" s="1" t="n">
        <f aca="false">L174</f>
        <v>0</v>
      </c>
      <c r="W174" s="1" t="n">
        <f aca="false">E174</f>
        <v>7671</v>
      </c>
      <c r="X174" s="1" t="n">
        <f aca="false">D174</f>
        <v>36606.51</v>
      </c>
      <c r="Y174" s="1" t="n">
        <f aca="false">G174</f>
        <v>89.8</v>
      </c>
      <c r="Z174" s="1" t="n">
        <f aca="false">F174</f>
        <v>0.118</v>
      </c>
      <c r="AA174" s="1" t="n">
        <f aca="false">H174</f>
        <v>4.4</v>
      </c>
      <c r="AB174" s="1" t="n">
        <f aca="false">J174</f>
        <v>0</v>
      </c>
      <c r="AC174" s="1" t="n">
        <f aca="false">K174</f>
        <v>1</v>
      </c>
      <c r="AD174" s="1" t="n">
        <f aca="false">L174</f>
        <v>0</v>
      </c>
    </row>
    <row r="175" customFormat="false" ht="15" hidden="false" customHeight="false" outlineLevel="0" collapsed="false">
      <c r="A175" s="5" t="s">
        <v>78</v>
      </c>
      <c r="B175" s="5" t="s">
        <v>28</v>
      </c>
      <c r="C175" s="5" t="s">
        <v>29</v>
      </c>
      <c r="D175" s="5" t="n">
        <v>65237.79</v>
      </c>
      <c r="E175" s="5" t="n">
        <v>8741</v>
      </c>
      <c r="F175" s="5" t="n">
        <v>0.157</v>
      </c>
      <c r="G175" s="5" t="n">
        <v>94.4</v>
      </c>
      <c r="H175" s="5" t="n">
        <v>3.3</v>
      </c>
      <c r="I175" s="5" t="n">
        <v>780344.18</v>
      </c>
      <c r="J175" s="5" t="n">
        <v>0</v>
      </c>
      <c r="K175" s="5" t="n">
        <v>1</v>
      </c>
      <c r="L175" s="5" t="n">
        <v>0</v>
      </c>
      <c r="P175" s="1" t="n">
        <f aca="false">E175</f>
        <v>8741</v>
      </c>
      <c r="Q175" s="1" t="n">
        <f aca="false">D175</f>
        <v>65237.79</v>
      </c>
      <c r="R175" s="1" t="n">
        <f aca="false">G175</f>
        <v>94.4</v>
      </c>
      <c r="S175" s="1" t="n">
        <f aca="false">J175</f>
        <v>0</v>
      </c>
      <c r="T175" s="1" t="n">
        <f aca="false">K175</f>
        <v>1</v>
      </c>
      <c r="U175" s="1" t="n">
        <f aca="false">L175</f>
        <v>0</v>
      </c>
      <c r="W175" s="1" t="n">
        <f aca="false">E175</f>
        <v>8741</v>
      </c>
      <c r="X175" s="1" t="n">
        <f aca="false">D175</f>
        <v>65237.79</v>
      </c>
      <c r="Y175" s="1" t="n">
        <f aca="false">G175</f>
        <v>94.4</v>
      </c>
      <c r="Z175" s="1" t="n">
        <f aca="false">F175</f>
        <v>0.157</v>
      </c>
      <c r="AA175" s="1" t="n">
        <f aca="false">H175</f>
        <v>3.3</v>
      </c>
      <c r="AB175" s="1" t="n">
        <f aca="false">J175</f>
        <v>0</v>
      </c>
      <c r="AC175" s="1" t="n">
        <f aca="false">K175</f>
        <v>1</v>
      </c>
      <c r="AD175" s="1" t="n">
        <f aca="false">L175</f>
        <v>0</v>
      </c>
    </row>
    <row r="176" customFormat="false" ht="15" hidden="false" customHeight="false" outlineLevel="0" collapsed="false">
      <c r="A176" s="5" t="s">
        <v>78</v>
      </c>
      <c r="B176" s="5" t="s">
        <v>28</v>
      </c>
      <c r="C176" s="5" t="s">
        <v>29</v>
      </c>
      <c r="D176" s="5" t="n">
        <v>43645.98</v>
      </c>
      <c r="E176" s="5" t="n">
        <v>9480</v>
      </c>
      <c r="F176" s="5" t="n">
        <v>0.109</v>
      </c>
      <c r="G176" s="5" t="n">
        <v>89</v>
      </c>
      <c r="H176" s="5" t="n">
        <v>3.1</v>
      </c>
      <c r="I176" s="5" t="n">
        <v>721364.11</v>
      </c>
      <c r="J176" s="5" t="n">
        <v>0</v>
      </c>
      <c r="K176" s="5" t="n">
        <v>1</v>
      </c>
      <c r="L176" s="5" t="n">
        <v>0</v>
      </c>
      <c r="P176" s="1" t="n">
        <f aca="false">E176</f>
        <v>9480</v>
      </c>
      <c r="Q176" s="1" t="n">
        <f aca="false">D176</f>
        <v>43645.98</v>
      </c>
      <c r="R176" s="1" t="n">
        <f aca="false">G176</f>
        <v>89</v>
      </c>
      <c r="S176" s="1" t="n">
        <f aca="false">J176</f>
        <v>0</v>
      </c>
      <c r="T176" s="1" t="n">
        <f aca="false">K176</f>
        <v>1</v>
      </c>
      <c r="U176" s="1" t="n">
        <f aca="false">L176</f>
        <v>0</v>
      </c>
      <c r="W176" s="1" t="n">
        <f aca="false">E176</f>
        <v>9480</v>
      </c>
      <c r="X176" s="1" t="n">
        <f aca="false">D176</f>
        <v>43645.98</v>
      </c>
      <c r="Y176" s="1" t="n">
        <f aca="false">G176</f>
        <v>89</v>
      </c>
      <c r="Z176" s="1" t="n">
        <f aca="false">F176</f>
        <v>0.109</v>
      </c>
      <c r="AA176" s="1" t="n">
        <f aca="false">H176</f>
        <v>3.1</v>
      </c>
      <c r="AB176" s="1" t="n">
        <f aca="false">J176</f>
        <v>0</v>
      </c>
      <c r="AC176" s="1" t="n">
        <f aca="false">K176</f>
        <v>1</v>
      </c>
      <c r="AD176" s="1" t="n">
        <f aca="false">L176</f>
        <v>0</v>
      </c>
    </row>
    <row r="177" customFormat="false" ht="15" hidden="false" customHeight="false" outlineLevel="0" collapsed="false">
      <c r="A177" s="5" t="s">
        <v>78</v>
      </c>
      <c r="B177" s="5" t="s">
        <v>28</v>
      </c>
      <c r="C177" s="5" t="s">
        <v>29</v>
      </c>
      <c r="D177" s="5" t="n">
        <v>68040.15</v>
      </c>
      <c r="E177" s="5" t="n">
        <v>9826</v>
      </c>
      <c r="F177" s="5" t="n">
        <v>0.125</v>
      </c>
      <c r="G177" s="5" t="n">
        <v>83.9</v>
      </c>
      <c r="H177" s="5" t="n">
        <v>3.6</v>
      </c>
      <c r="I177" s="5" t="n">
        <v>758138.29</v>
      </c>
      <c r="J177" s="5" t="n">
        <v>0</v>
      </c>
      <c r="K177" s="5" t="n">
        <v>1</v>
      </c>
      <c r="L177" s="5" t="n">
        <v>0</v>
      </c>
      <c r="P177" s="1" t="n">
        <f aca="false">E177</f>
        <v>9826</v>
      </c>
      <c r="Q177" s="1" t="n">
        <f aca="false">D177</f>
        <v>68040.15</v>
      </c>
      <c r="R177" s="1" t="n">
        <f aca="false">G177</f>
        <v>83.9</v>
      </c>
      <c r="S177" s="1" t="n">
        <f aca="false">J177</f>
        <v>0</v>
      </c>
      <c r="T177" s="1" t="n">
        <f aca="false">K177</f>
        <v>1</v>
      </c>
      <c r="U177" s="1" t="n">
        <f aca="false">L177</f>
        <v>0</v>
      </c>
      <c r="W177" s="1" t="n">
        <f aca="false">E177</f>
        <v>9826</v>
      </c>
      <c r="X177" s="1" t="n">
        <f aca="false">D177</f>
        <v>68040.15</v>
      </c>
      <c r="Y177" s="1" t="n">
        <f aca="false">G177</f>
        <v>83.9</v>
      </c>
      <c r="Z177" s="1" t="n">
        <f aca="false">F177</f>
        <v>0.125</v>
      </c>
      <c r="AA177" s="1" t="n">
        <f aca="false">H177</f>
        <v>3.6</v>
      </c>
      <c r="AB177" s="1" t="n">
        <f aca="false">J177</f>
        <v>0</v>
      </c>
      <c r="AC177" s="1" t="n">
        <f aca="false">K177</f>
        <v>1</v>
      </c>
      <c r="AD177" s="1" t="n">
        <f aca="false">L177</f>
        <v>0</v>
      </c>
    </row>
    <row r="178" customFormat="false" ht="15" hidden="false" customHeight="false" outlineLevel="0" collapsed="false">
      <c r="A178" s="5" t="s">
        <v>78</v>
      </c>
      <c r="B178" s="5" t="s">
        <v>28</v>
      </c>
      <c r="C178" s="5" t="s">
        <v>29</v>
      </c>
      <c r="D178" s="5" t="n">
        <v>63043.94</v>
      </c>
      <c r="E178" s="5" t="n">
        <v>10402</v>
      </c>
      <c r="F178" s="5" t="n">
        <v>0.159</v>
      </c>
      <c r="G178" s="5" t="n">
        <v>93.9</v>
      </c>
      <c r="H178" s="5" t="n">
        <v>3.1</v>
      </c>
      <c r="I178" s="5" t="n">
        <v>804264</v>
      </c>
      <c r="J178" s="5" t="n">
        <v>0</v>
      </c>
      <c r="K178" s="5" t="n">
        <v>1</v>
      </c>
      <c r="L178" s="5" t="n">
        <v>0</v>
      </c>
      <c r="P178" s="1" t="n">
        <f aca="false">E178</f>
        <v>10402</v>
      </c>
      <c r="Q178" s="1" t="n">
        <f aca="false">D178</f>
        <v>63043.94</v>
      </c>
      <c r="R178" s="1" t="n">
        <f aca="false">G178</f>
        <v>93.9</v>
      </c>
      <c r="S178" s="1" t="n">
        <f aca="false">J178</f>
        <v>0</v>
      </c>
      <c r="T178" s="1" t="n">
        <f aca="false">K178</f>
        <v>1</v>
      </c>
      <c r="U178" s="1" t="n">
        <f aca="false">L178</f>
        <v>0</v>
      </c>
      <c r="W178" s="1" t="n">
        <f aca="false">E178</f>
        <v>10402</v>
      </c>
      <c r="X178" s="1" t="n">
        <f aca="false">D178</f>
        <v>63043.94</v>
      </c>
      <c r="Y178" s="1" t="n">
        <f aca="false">G178</f>
        <v>93.9</v>
      </c>
      <c r="Z178" s="1" t="n">
        <f aca="false">F178</f>
        <v>0.159</v>
      </c>
      <c r="AA178" s="1" t="n">
        <f aca="false">H178</f>
        <v>3.1</v>
      </c>
      <c r="AB178" s="1" t="n">
        <f aca="false">J178</f>
        <v>0</v>
      </c>
      <c r="AC178" s="1" t="n">
        <f aca="false">K178</f>
        <v>1</v>
      </c>
      <c r="AD178" s="1" t="n">
        <f aca="false">L178</f>
        <v>0</v>
      </c>
    </row>
    <row r="179" customFormat="false" ht="15" hidden="false" customHeight="false" outlineLevel="0" collapsed="false">
      <c r="A179" s="5" t="s">
        <v>79</v>
      </c>
      <c r="B179" s="5" t="s">
        <v>40</v>
      </c>
      <c r="C179" s="5" t="s">
        <v>34</v>
      </c>
      <c r="D179" s="5" t="n">
        <v>67494.09</v>
      </c>
      <c r="E179" s="5" t="n">
        <v>12361</v>
      </c>
      <c r="F179" s="5" t="n">
        <v>0.046</v>
      </c>
      <c r="G179" s="5" t="n">
        <v>76.6</v>
      </c>
      <c r="H179" s="5" t="n">
        <v>3.7</v>
      </c>
      <c r="I179" s="5" t="n">
        <v>887537.75</v>
      </c>
      <c r="J179" s="5" t="n">
        <v>0</v>
      </c>
      <c r="K179" s="5" t="n">
        <v>0</v>
      </c>
      <c r="L179" s="5" t="n">
        <v>1</v>
      </c>
      <c r="P179" s="1" t="n">
        <f aca="false">E179</f>
        <v>12361</v>
      </c>
      <c r="Q179" s="1" t="n">
        <f aca="false">D179</f>
        <v>67494.09</v>
      </c>
      <c r="R179" s="1" t="n">
        <f aca="false">G179</f>
        <v>76.6</v>
      </c>
      <c r="S179" s="1" t="n">
        <f aca="false">J179</f>
        <v>0</v>
      </c>
      <c r="T179" s="1" t="n">
        <f aca="false">K179</f>
        <v>0</v>
      </c>
      <c r="U179" s="1" t="n">
        <f aca="false">L179</f>
        <v>1</v>
      </c>
      <c r="W179" s="1" t="n">
        <f aca="false">E179</f>
        <v>12361</v>
      </c>
      <c r="X179" s="1" t="n">
        <f aca="false">D179</f>
        <v>67494.09</v>
      </c>
      <c r="Y179" s="1" t="n">
        <f aca="false">G179</f>
        <v>76.6</v>
      </c>
      <c r="Z179" s="1" t="n">
        <f aca="false">F179</f>
        <v>0.046</v>
      </c>
      <c r="AA179" s="1" t="n">
        <f aca="false">H179</f>
        <v>3.7</v>
      </c>
      <c r="AB179" s="1" t="n">
        <f aca="false">J179</f>
        <v>0</v>
      </c>
      <c r="AC179" s="1" t="n">
        <f aca="false">K179</f>
        <v>0</v>
      </c>
      <c r="AD179" s="1" t="n">
        <f aca="false">L179</f>
        <v>1</v>
      </c>
    </row>
    <row r="180" customFormat="false" ht="15" hidden="false" customHeight="false" outlineLevel="0" collapsed="false">
      <c r="A180" s="5" t="s">
        <v>79</v>
      </c>
      <c r="B180" s="5" t="s">
        <v>40</v>
      </c>
      <c r="C180" s="5" t="s">
        <v>34</v>
      </c>
      <c r="D180" s="5" t="n">
        <v>29389.32</v>
      </c>
      <c r="E180" s="5" t="n">
        <v>7925</v>
      </c>
      <c r="F180" s="5" t="n">
        <v>0.177</v>
      </c>
      <c r="G180" s="5" t="n">
        <v>90.9</v>
      </c>
      <c r="H180" s="5" t="n">
        <v>4</v>
      </c>
      <c r="I180" s="5" t="n">
        <v>783582</v>
      </c>
      <c r="J180" s="5" t="n">
        <v>0</v>
      </c>
      <c r="K180" s="5" t="n">
        <v>0</v>
      </c>
      <c r="L180" s="5" t="n">
        <v>1</v>
      </c>
      <c r="P180" s="1" t="n">
        <f aca="false">E180</f>
        <v>7925</v>
      </c>
      <c r="Q180" s="1" t="n">
        <f aca="false">D180</f>
        <v>29389.32</v>
      </c>
      <c r="R180" s="1" t="n">
        <f aca="false">G180</f>
        <v>90.9</v>
      </c>
      <c r="S180" s="1" t="n">
        <f aca="false">J180</f>
        <v>0</v>
      </c>
      <c r="T180" s="1" t="n">
        <f aca="false">K180</f>
        <v>0</v>
      </c>
      <c r="U180" s="1" t="n">
        <f aca="false">L180</f>
        <v>1</v>
      </c>
      <c r="W180" s="1" t="n">
        <f aca="false">E180</f>
        <v>7925</v>
      </c>
      <c r="X180" s="1" t="n">
        <f aca="false">D180</f>
        <v>29389.32</v>
      </c>
      <c r="Y180" s="1" t="n">
        <f aca="false">G180</f>
        <v>90.9</v>
      </c>
      <c r="Z180" s="1" t="n">
        <f aca="false">F180</f>
        <v>0.177</v>
      </c>
      <c r="AA180" s="1" t="n">
        <f aca="false">H180</f>
        <v>4</v>
      </c>
      <c r="AB180" s="1" t="n">
        <f aca="false">J180</f>
        <v>0</v>
      </c>
      <c r="AC180" s="1" t="n">
        <f aca="false">K180</f>
        <v>0</v>
      </c>
      <c r="AD180" s="1" t="n">
        <f aca="false">L180</f>
        <v>1</v>
      </c>
    </row>
    <row r="181" customFormat="false" ht="15" hidden="false" customHeight="false" outlineLevel="0" collapsed="false">
      <c r="A181" s="5" t="s">
        <v>79</v>
      </c>
      <c r="B181" s="5" t="s">
        <v>40</v>
      </c>
      <c r="C181" s="5" t="s">
        <v>34</v>
      </c>
      <c r="D181" s="5" t="n">
        <v>40535.09</v>
      </c>
      <c r="E181" s="5" t="n">
        <v>8870</v>
      </c>
      <c r="F181" s="5" t="n">
        <v>0.041</v>
      </c>
      <c r="G181" s="5" t="n">
        <v>86.6</v>
      </c>
      <c r="H181" s="5" t="n">
        <v>4.1</v>
      </c>
      <c r="I181" s="5" t="n">
        <v>781955.52</v>
      </c>
      <c r="J181" s="5" t="n">
        <v>0</v>
      </c>
      <c r="K181" s="5" t="n">
        <v>0</v>
      </c>
      <c r="L181" s="5" t="n">
        <v>1</v>
      </c>
      <c r="P181" s="1" t="n">
        <f aca="false">E181</f>
        <v>8870</v>
      </c>
      <c r="Q181" s="1" t="n">
        <f aca="false">D181</f>
        <v>40535.09</v>
      </c>
      <c r="R181" s="1" t="n">
        <f aca="false">G181</f>
        <v>86.6</v>
      </c>
      <c r="S181" s="1" t="n">
        <f aca="false">J181</f>
        <v>0</v>
      </c>
      <c r="T181" s="1" t="n">
        <f aca="false">K181</f>
        <v>0</v>
      </c>
      <c r="U181" s="1" t="n">
        <f aca="false">L181</f>
        <v>1</v>
      </c>
      <c r="W181" s="1" t="n">
        <f aca="false">E181</f>
        <v>8870</v>
      </c>
      <c r="X181" s="1" t="n">
        <f aca="false">D181</f>
        <v>40535.09</v>
      </c>
      <c r="Y181" s="1" t="n">
        <f aca="false">G181</f>
        <v>86.6</v>
      </c>
      <c r="Z181" s="1" t="n">
        <f aca="false">F181</f>
        <v>0.041</v>
      </c>
      <c r="AA181" s="1" t="n">
        <f aca="false">H181</f>
        <v>4.1</v>
      </c>
      <c r="AB181" s="1" t="n">
        <f aca="false">J181</f>
        <v>0</v>
      </c>
      <c r="AC181" s="1" t="n">
        <f aca="false">K181</f>
        <v>0</v>
      </c>
      <c r="AD181" s="1" t="n">
        <f aca="false">L181</f>
        <v>1</v>
      </c>
    </row>
    <row r="182" customFormat="false" ht="15" hidden="false" customHeight="false" outlineLevel="0" collapsed="false">
      <c r="A182" s="5" t="s">
        <v>79</v>
      </c>
      <c r="B182" s="5" t="s">
        <v>40</v>
      </c>
      <c r="C182" s="5" t="s">
        <v>34</v>
      </c>
      <c r="D182" s="5" t="n">
        <v>74881.56</v>
      </c>
      <c r="E182" s="5" t="n">
        <v>9999</v>
      </c>
      <c r="F182" s="5" t="n">
        <v>0.013</v>
      </c>
      <c r="G182" s="5" t="n">
        <v>89.6</v>
      </c>
      <c r="H182" s="5" t="n">
        <v>4.1</v>
      </c>
      <c r="I182" s="5" t="n">
        <v>898031.04</v>
      </c>
      <c r="J182" s="5" t="n">
        <v>0</v>
      </c>
      <c r="K182" s="5" t="n">
        <v>0</v>
      </c>
      <c r="L182" s="5" t="n">
        <v>1</v>
      </c>
      <c r="P182" s="1" t="n">
        <f aca="false">E182</f>
        <v>9999</v>
      </c>
      <c r="Q182" s="1" t="n">
        <f aca="false">D182</f>
        <v>74881.56</v>
      </c>
      <c r="R182" s="1" t="n">
        <f aca="false">G182</f>
        <v>89.6</v>
      </c>
      <c r="S182" s="1" t="n">
        <f aca="false">J182</f>
        <v>0</v>
      </c>
      <c r="T182" s="1" t="n">
        <f aca="false">K182</f>
        <v>0</v>
      </c>
      <c r="U182" s="1" t="n">
        <f aca="false">L182</f>
        <v>1</v>
      </c>
      <c r="W182" s="1" t="n">
        <f aca="false">E182</f>
        <v>9999</v>
      </c>
      <c r="X182" s="1" t="n">
        <f aca="false">D182</f>
        <v>74881.56</v>
      </c>
      <c r="Y182" s="1" t="n">
        <f aca="false">G182</f>
        <v>89.6</v>
      </c>
      <c r="Z182" s="1" t="n">
        <f aca="false">F182</f>
        <v>0.013</v>
      </c>
      <c r="AA182" s="1" t="n">
        <f aca="false">H182</f>
        <v>4.1</v>
      </c>
      <c r="AB182" s="1" t="n">
        <f aca="false">J182</f>
        <v>0</v>
      </c>
      <c r="AC182" s="1" t="n">
        <f aca="false">K182</f>
        <v>0</v>
      </c>
      <c r="AD182" s="1" t="n">
        <f aca="false">L182</f>
        <v>1</v>
      </c>
    </row>
    <row r="183" customFormat="false" ht="15" hidden="false" customHeight="false" outlineLevel="0" collapsed="false">
      <c r="A183" s="5" t="s">
        <v>80</v>
      </c>
      <c r="B183" s="5" t="s">
        <v>40</v>
      </c>
      <c r="C183" s="5" t="s">
        <v>29</v>
      </c>
      <c r="D183" s="5" t="n">
        <v>68491.11</v>
      </c>
      <c r="E183" s="5" t="n">
        <v>11154</v>
      </c>
      <c r="F183" s="5" t="n">
        <v>0.001</v>
      </c>
      <c r="G183" s="5" t="n">
        <v>89.4</v>
      </c>
      <c r="H183" s="5" t="n">
        <v>3.9</v>
      </c>
      <c r="I183" s="5" t="n">
        <v>855341.28</v>
      </c>
      <c r="J183" s="5" t="n">
        <v>0</v>
      </c>
      <c r="K183" s="5" t="n">
        <v>1</v>
      </c>
      <c r="L183" s="5" t="n">
        <v>0</v>
      </c>
      <c r="P183" s="1" t="n">
        <f aca="false">E183</f>
        <v>11154</v>
      </c>
      <c r="Q183" s="1" t="n">
        <f aca="false">D183</f>
        <v>68491.11</v>
      </c>
      <c r="R183" s="1" t="n">
        <f aca="false">G183</f>
        <v>89.4</v>
      </c>
      <c r="S183" s="1" t="n">
        <f aca="false">J183</f>
        <v>0</v>
      </c>
      <c r="T183" s="1" t="n">
        <f aca="false">K183</f>
        <v>1</v>
      </c>
      <c r="U183" s="1" t="n">
        <f aca="false">L183</f>
        <v>0</v>
      </c>
      <c r="W183" s="1" t="n">
        <f aca="false">E183</f>
        <v>11154</v>
      </c>
      <c r="X183" s="1" t="n">
        <f aca="false">D183</f>
        <v>68491.11</v>
      </c>
      <c r="Y183" s="1" t="n">
        <f aca="false">G183</f>
        <v>89.4</v>
      </c>
      <c r="Z183" s="1" t="n">
        <f aca="false">F183</f>
        <v>0.001</v>
      </c>
      <c r="AA183" s="1" t="n">
        <f aca="false">H183</f>
        <v>3.9</v>
      </c>
      <c r="AB183" s="1" t="n">
        <f aca="false">J183</f>
        <v>0</v>
      </c>
      <c r="AC183" s="1" t="n">
        <f aca="false">K183</f>
        <v>1</v>
      </c>
      <c r="AD183" s="1" t="n">
        <f aca="false">L183</f>
        <v>0</v>
      </c>
    </row>
    <row r="184" customFormat="false" ht="15" hidden="false" customHeight="false" outlineLevel="0" collapsed="false">
      <c r="A184" s="5" t="s">
        <v>80</v>
      </c>
      <c r="B184" s="5" t="s">
        <v>40</v>
      </c>
      <c r="C184" s="5" t="s">
        <v>29</v>
      </c>
      <c r="D184" s="5" t="n">
        <v>45209.25</v>
      </c>
      <c r="E184" s="5" t="n">
        <v>9287</v>
      </c>
      <c r="F184" s="5" t="n">
        <v>0.141</v>
      </c>
      <c r="G184" s="5" t="n">
        <v>86.4</v>
      </c>
      <c r="H184" s="5" t="n">
        <v>3.6</v>
      </c>
      <c r="I184" s="5" t="n">
        <v>751393.88</v>
      </c>
      <c r="J184" s="5" t="n">
        <v>0</v>
      </c>
      <c r="K184" s="5" t="n">
        <v>1</v>
      </c>
      <c r="L184" s="5" t="n">
        <v>0</v>
      </c>
      <c r="P184" s="1" t="n">
        <f aca="false">E184</f>
        <v>9287</v>
      </c>
      <c r="Q184" s="1" t="n">
        <f aca="false">D184</f>
        <v>45209.25</v>
      </c>
      <c r="R184" s="1" t="n">
        <f aca="false">G184</f>
        <v>86.4</v>
      </c>
      <c r="S184" s="1" t="n">
        <f aca="false">J184</f>
        <v>0</v>
      </c>
      <c r="T184" s="1" t="n">
        <f aca="false">K184</f>
        <v>1</v>
      </c>
      <c r="U184" s="1" t="n">
        <f aca="false">L184</f>
        <v>0</v>
      </c>
      <c r="W184" s="1" t="n">
        <f aca="false">E184</f>
        <v>9287</v>
      </c>
      <c r="X184" s="1" t="n">
        <f aca="false">D184</f>
        <v>45209.25</v>
      </c>
      <c r="Y184" s="1" t="n">
        <f aca="false">G184</f>
        <v>86.4</v>
      </c>
      <c r="Z184" s="1" t="n">
        <f aca="false">F184</f>
        <v>0.141</v>
      </c>
      <c r="AA184" s="1" t="n">
        <f aca="false">H184</f>
        <v>3.6</v>
      </c>
      <c r="AB184" s="1" t="n">
        <f aca="false">J184</f>
        <v>0</v>
      </c>
      <c r="AC184" s="1" t="n">
        <f aca="false">K184</f>
        <v>1</v>
      </c>
      <c r="AD184" s="1" t="n">
        <f aca="false">L184</f>
        <v>0</v>
      </c>
    </row>
    <row r="185" customFormat="false" ht="15" hidden="false" customHeight="false" outlineLevel="0" collapsed="false">
      <c r="A185" s="5" t="s">
        <v>80</v>
      </c>
      <c r="B185" s="5" t="s">
        <v>40</v>
      </c>
      <c r="C185" s="5" t="s">
        <v>29</v>
      </c>
      <c r="D185" s="5" t="n">
        <v>63010.23</v>
      </c>
      <c r="E185" s="5" t="n">
        <v>9812</v>
      </c>
      <c r="F185" s="5" t="n">
        <v>0.113</v>
      </c>
      <c r="G185" s="5" t="n">
        <v>76.8</v>
      </c>
      <c r="H185" s="5" t="n">
        <v>3.8</v>
      </c>
      <c r="I185" s="5" t="n">
        <v>761077.08</v>
      </c>
      <c r="J185" s="5" t="n">
        <v>0</v>
      </c>
      <c r="K185" s="5" t="n">
        <v>1</v>
      </c>
      <c r="L185" s="5" t="n">
        <v>0</v>
      </c>
      <c r="P185" s="1" t="n">
        <f aca="false">E185</f>
        <v>9812</v>
      </c>
      <c r="Q185" s="1" t="n">
        <f aca="false">D185</f>
        <v>63010.23</v>
      </c>
      <c r="R185" s="1" t="n">
        <f aca="false">G185</f>
        <v>76.8</v>
      </c>
      <c r="S185" s="1" t="n">
        <f aca="false">J185</f>
        <v>0</v>
      </c>
      <c r="T185" s="1" t="n">
        <f aca="false">K185</f>
        <v>1</v>
      </c>
      <c r="U185" s="1" t="n">
        <f aca="false">L185</f>
        <v>0</v>
      </c>
      <c r="W185" s="1" t="n">
        <f aca="false">E185</f>
        <v>9812</v>
      </c>
      <c r="X185" s="1" t="n">
        <f aca="false">D185</f>
        <v>63010.23</v>
      </c>
      <c r="Y185" s="1" t="n">
        <f aca="false">G185</f>
        <v>76.8</v>
      </c>
      <c r="Z185" s="1" t="n">
        <f aca="false">F185</f>
        <v>0.113</v>
      </c>
      <c r="AA185" s="1" t="n">
        <f aca="false">H185</f>
        <v>3.8</v>
      </c>
      <c r="AB185" s="1" t="n">
        <f aca="false">J185</f>
        <v>0</v>
      </c>
      <c r="AC185" s="1" t="n">
        <f aca="false">K185</f>
        <v>1</v>
      </c>
      <c r="AD185" s="1" t="n">
        <f aca="false">L185</f>
        <v>0</v>
      </c>
    </row>
    <row r="186" customFormat="false" ht="15" hidden="false" customHeight="false" outlineLevel="0" collapsed="false">
      <c r="A186" s="5" t="s">
        <v>80</v>
      </c>
      <c r="B186" s="5" t="s">
        <v>40</v>
      </c>
      <c r="C186" s="5" t="s">
        <v>29</v>
      </c>
      <c r="D186" s="5" t="n">
        <v>57948.88</v>
      </c>
      <c r="E186" s="5" t="n">
        <v>10741</v>
      </c>
      <c r="F186" s="5" t="n">
        <v>0.07</v>
      </c>
      <c r="G186" s="5" t="n">
        <v>90.1</v>
      </c>
      <c r="H186" s="5" t="n">
        <v>3.1</v>
      </c>
      <c r="I186" s="5" t="n">
        <v>819660.59</v>
      </c>
      <c r="J186" s="5" t="n">
        <v>0</v>
      </c>
      <c r="K186" s="5" t="n">
        <v>1</v>
      </c>
      <c r="L186" s="5" t="n">
        <v>0</v>
      </c>
      <c r="P186" s="1" t="n">
        <f aca="false">E186</f>
        <v>10741</v>
      </c>
      <c r="Q186" s="1" t="n">
        <f aca="false">D186</f>
        <v>57948.88</v>
      </c>
      <c r="R186" s="1" t="n">
        <f aca="false">G186</f>
        <v>90.1</v>
      </c>
      <c r="S186" s="1" t="n">
        <f aca="false">J186</f>
        <v>0</v>
      </c>
      <c r="T186" s="1" t="n">
        <f aca="false">K186</f>
        <v>1</v>
      </c>
      <c r="U186" s="1" t="n">
        <f aca="false">L186</f>
        <v>0</v>
      </c>
      <c r="W186" s="1" t="n">
        <f aca="false">E186</f>
        <v>10741</v>
      </c>
      <c r="X186" s="1" t="n">
        <f aca="false">D186</f>
        <v>57948.88</v>
      </c>
      <c r="Y186" s="1" t="n">
        <f aca="false">G186</f>
        <v>90.1</v>
      </c>
      <c r="Z186" s="1" t="n">
        <f aca="false">F186</f>
        <v>0.07</v>
      </c>
      <c r="AA186" s="1" t="n">
        <f aca="false">H186</f>
        <v>3.1</v>
      </c>
      <c r="AB186" s="1" t="n">
        <f aca="false">J186</f>
        <v>0</v>
      </c>
      <c r="AC186" s="1" t="n">
        <f aca="false">K186</f>
        <v>1</v>
      </c>
      <c r="AD186" s="1" t="n">
        <f aca="false">L186</f>
        <v>0</v>
      </c>
    </row>
    <row r="187" customFormat="false" ht="15" hidden="false" customHeight="false" outlineLevel="0" collapsed="false">
      <c r="A187" s="5" t="s">
        <v>81</v>
      </c>
      <c r="B187" s="5" t="s">
        <v>33</v>
      </c>
      <c r="C187" s="5" t="s">
        <v>31</v>
      </c>
      <c r="D187" s="5" t="n">
        <v>71941.62</v>
      </c>
      <c r="E187" s="5" t="n">
        <v>6084</v>
      </c>
      <c r="F187" s="5" t="n">
        <v>0.072</v>
      </c>
      <c r="G187" s="5" t="n">
        <v>93.7</v>
      </c>
      <c r="H187" s="5" t="n">
        <v>4.4</v>
      </c>
      <c r="I187" s="5" t="n">
        <v>681855.56</v>
      </c>
      <c r="J187" s="5" t="n">
        <v>0</v>
      </c>
      <c r="K187" s="5" t="n">
        <v>0</v>
      </c>
      <c r="L187" s="5" t="n">
        <v>0</v>
      </c>
      <c r="P187" s="1" t="n">
        <f aca="false">E187</f>
        <v>6084</v>
      </c>
      <c r="Q187" s="1" t="n">
        <f aca="false">D187</f>
        <v>71941.62</v>
      </c>
      <c r="R187" s="1" t="n">
        <f aca="false">G187</f>
        <v>93.7</v>
      </c>
      <c r="S187" s="1" t="n">
        <f aca="false">J187</f>
        <v>0</v>
      </c>
      <c r="T187" s="1" t="n">
        <f aca="false">K187</f>
        <v>0</v>
      </c>
      <c r="U187" s="1" t="n">
        <f aca="false">L187</f>
        <v>0</v>
      </c>
      <c r="W187" s="1" t="n">
        <f aca="false">E187</f>
        <v>6084</v>
      </c>
      <c r="X187" s="1" t="n">
        <f aca="false">D187</f>
        <v>71941.62</v>
      </c>
      <c r="Y187" s="1" t="n">
        <f aca="false">G187</f>
        <v>93.7</v>
      </c>
      <c r="Z187" s="1" t="n">
        <f aca="false">F187</f>
        <v>0.072</v>
      </c>
      <c r="AA187" s="1" t="n">
        <f aca="false">H187</f>
        <v>4.4</v>
      </c>
      <c r="AB187" s="1" t="n">
        <f aca="false">J187</f>
        <v>0</v>
      </c>
      <c r="AC187" s="1" t="n">
        <f aca="false">K187</f>
        <v>0</v>
      </c>
      <c r="AD187" s="1" t="n">
        <f aca="false">L187</f>
        <v>0</v>
      </c>
    </row>
    <row r="188" customFormat="false" ht="15" hidden="false" customHeight="false" outlineLevel="0" collapsed="false">
      <c r="A188" s="5" t="s">
        <v>81</v>
      </c>
      <c r="B188" s="5" t="s">
        <v>33</v>
      </c>
      <c r="C188" s="5" t="s">
        <v>31</v>
      </c>
      <c r="D188" s="5" t="n">
        <v>57147.88</v>
      </c>
      <c r="E188" s="5" t="n">
        <v>5252</v>
      </c>
      <c r="F188" s="5" t="n">
        <v>0.161</v>
      </c>
      <c r="G188" s="5" t="n">
        <v>95.5</v>
      </c>
      <c r="H188" s="5" t="n">
        <v>4.4</v>
      </c>
      <c r="I188" s="5" t="n">
        <v>678311.17</v>
      </c>
      <c r="J188" s="5" t="n">
        <v>0</v>
      </c>
      <c r="K188" s="5" t="n">
        <v>0</v>
      </c>
      <c r="L188" s="5" t="n">
        <v>0</v>
      </c>
      <c r="P188" s="1" t="n">
        <f aca="false">E188</f>
        <v>5252</v>
      </c>
      <c r="Q188" s="1" t="n">
        <f aca="false">D188</f>
        <v>57147.88</v>
      </c>
      <c r="R188" s="1" t="n">
        <f aca="false">G188</f>
        <v>95.5</v>
      </c>
      <c r="S188" s="1" t="n">
        <f aca="false">J188</f>
        <v>0</v>
      </c>
      <c r="T188" s="1" t="n">
        <f aca="false">K188</f>
        <v>0</v>
      </c>
      <c r="U188" s="1" t="n">
        <f aca="false">L188</f>
        <v>0</v>
      </c>
      <c r="W188" s="1" t="n">
        <f aca="false">E188</f>
        <v>5252</v>
      </c>
      <c r="X188" s="1" t="n">
        <f aca="false">D188</f>
        <v>57147.88</v>
      </c>
      <c r="Y188" s="1" t="n">
        <f aca="false">G188</f>
        <v>95.5</v>
      </c>
      <c r="Z188" s="1" t="n">
        <f aca="false">F188</f>
        <v>0.161</v>
      </c>
      <c r="AA188" s="1" t="n">
        <f aca="false">H188</f>
        <v>4.4</v>
      </c>
      <c r="AB188" s="1" t="n">
        <f aca="false">J188</f>
        <v>0</v>
      </c>
      <c r="AC188" s="1" t="n">
        <f aca="false">K188</f>
        <v>0</v>
      </c>
      <c r="AD188" s="1" t="n">
        <f aca="false">L188</f>
        <v>0</v>
      </c>
    </row>
    <row r="189" customFormat="false" ht="15" hidden="false" customHeight="false" outlineLevel="0" collapsed="false">
      <c r="A189" s="5" t="s">
        <v>81</v>
      </c>
      <c r="B189" s="5" t="s">
        <v>33</v>
      </c>
      <c r="C189" s="5" t="s">
        <v>31</v>
      </c>
      <c r="D189" s="5" t="n">
        <v>48031.74</v>
      </c>
      <c r="E189" s="5" t="n">
        <v>6516</v>
      </c>
      <c r="F189" s="5" t="n">
        <v>0.067</v>
      </c>
      <c r="G189" s="5" t="n">
        <v>99</v>
      </c>
      <c r="H189" s="5" t="n">
        <v>4.3</v>
      </c>
      <c r="I189" s="5" t="n">
        <v>765906.95</v>
      </c>
      <c r="J189" s="5" t="n">
        <v>0</v>
      </c>
      <c r="K189" s="5" t="n">
        <v>0</v>
      </c>
      <c r="L189" s="5" t="n">
        <v>0</v>
      </c>
      <c r="P189" s="1" t="n">
        <f aca="false">E189</f>
        <v>6516</v>
      </c>
      <c r="Q189" s="1" t="n">
        <f aca="false">D189</f>
        <v>48031.74</v>
      </c>
      <c r="R189" s="1" t="n">
        <f aca="false">G189</f>
        <v>99</v>
      </c>
      <c r="S189" s="1" t="n">
        <f aca="false">J189</f>
        <v>0</v>
      </c>
      <c r="T189" s="1" t="n">
        <f aca="false">K189</f>
        <v>0</v>
      </c>
      <c r="U189" s="1" t="n">
        <f aca="false">L189</f>
        <v>0</v>
      </c>
      <c r="W189" s="1" t="n">
        <f aca="false">E189</f>
        <v>6516</v>
      </c>
      <c r="X189" s="1" t="n">
        <f aca="false">D189</f>
        <v>48031.74</v>
      </c>
      <c r="Y189" s="1" t="n">
        <f aca="false">G189</f>
        <v>99</v>
      </c>
      <c r="Z189" s="1" t="n">
        <f aca="false">F189</f>
        <v>0.067</v>
      </c>
      <c r="AA189" s="1" t="n">
        <f aca="false">H189</f>
        <v>4.3</v>
      </c>
      <c r="AB189" s="1" t="n">
        <f aca="false">J189</f>
        <v>0</v>
      </c>
      <c r="AC189" s="1" t="n">
        <f aca="false">K189</f>
        <v>0</v>
      </c>
      <c r="AD189" s="1" t="n">
        <f aca="false">L189</f>
        <v>0</v>
      </c>
    </row>
    <row r="190" customFormat="false" ht="15" hidden="false" customHeight="false" outlineLevel="0" collapsed="false">
      <c r="A190" s="5" t="s">
        <v>81</v>
      </c>
      <c r="B190" s="5" t="s">
        <v>33</v>
      </c>
      <c r="C190" s="5" t="s">
        <v>31</v>
      </c>
      <c r="D190" s="5" t="n">
        <v>72784.8</v>
      </c>
      <c r="E190" s="5" t="n">
        <v>7932</v>
      </c>
      <c r="F190" s="5" t="n">
        <v>0.094</v>
      </c>
      <c r="G190" s="5" t="n">
        <v>74.9</v>
      </c>
      <c r="H190" s="5" t="n">
        <v>4.2</v>
      </c>
      <c r="I190" s="5" t="n">
        <v>712546.38</v>
      </c>
      <c r="J190" s="5" t="n">
        <v>0</v>
      </c>
      <c r="K190" s="5" t="n">
        <v>0</v>
      </c>
      <c r="L190" s="5" t="n">
        <v>0</v>
      </c>
      <c r="P190" s="1" t="n">
        <f aca="false">E190</f>
        <v>7932</v>
      </c>
      <c r="Q190" s="1" t="n">
        <f aca="false">D190</f>
        <v>72784.8</v>
      </c>
      <c r="R190" s="1" t="n">
        <f aca="false">G190</f>
        <v>74.9</v>
      </c>
      <c r="S190" s="1" t="n">
        <f aca="false">J190</f>
        <v>0</v>
      </c>
      <c r="T190" s="1" t="n">
        <f aca="false">K190</f>
        <v>0</v>
      </c>
      <c r="U190" s="1" t="n">
        <f aca="false">L190</f>
        <v>0</v>
      </c>
      <c r="W190" s="1" t="n">
        <f aca="false">E190</f>
        <v>7932</v>
      </c>
      <c r="X190" s="1" t="n">
        <f aca="false">D190</f>
        <v>72784.8</v>
      </c>
      <c r="Y190" s="1" t="n">
        <f aca="false">G190</f>
        <v>74.9</v>
      </c>
      <c r="Z190" s="1" t="n">
        <f aca="false">F190</f>
        <v>0.094</v>
      </c>
      <c r="AA190" s="1" t="n">
        <f aca="false">H190</f>
        <v>4.2</v>
      </c>
      <c r="AB190" s="1" t="n">
        <f aca="false">J190</f>
        <v>0</v>
      </c>
      <c r="AC190" s="1" t="n">
        <f aca="false">K190</f>
        <v>0</v>
      </c>
      <c r="AD190" s="1" t="n">
        <f aca="false">L190</f>
        <v>0</v>
      </c>
    </row>
    <row r="191" customFormat="false" ht="15" hidden="false" customHeight="false" outlineLevel="0" collapsed="false">
      <c r="A191" s="5" t="s">
        <v>82</v>
      </c>
      <c r="B191" s="5" t="s">
        <v>28</v>
      </c>
      <c r="C191" s="5" t="s">
        <v>31</v>
      </c>
      <c r="D191" s="5" t="n">
        <v>71641.9</v>
      </c>
      <c r="E191" s="5" t="n">
        <v>3506</v>
      </c>
      <c r="F191" s="5" t="n">
        <v>0</v>
      </c>
      <c r="G191" s="5" t="n">
        <v>86.4</v>
      </c>
      <c r="H191" s="5" t="n">
        <v>4.1</v>
      </c>
      <c r="I191" s="5" t="n">
        <v>625993.83</v>
      </c>
      <c r="J191" s="5" t="n">
        <v>0</v>
      </c>
      <c r="K191" s="5" t="n">
        <v>0</v>
      </c>
      <c r="L191" s="5" t="n">
        <v>0</v>
      </c>
      <c r="P191" s="1" t="n">
        <f aca="false">E191</f>
        <v>3506</v>
      </c>
      <c r="Q191" s="1" t="n">
        <f aca="false">D191</f>
        <v>71641.9</v>
      </c>
      <c r="R191" s="1" t="n">
        <f aca="false">G191</f>
        <v>86.4</v>
      </c>
      <c r="S191" s="1" t="n">
        <f aca="false">J191</f>
        <v>0</v>
      </c>
      <c r="T191" s="1" t="n">
        <f aca="false">K191</f>
        <v>0</v>
      </c>
      <c r="U191" s="1" t="n">
        <f aca="false">L191</f>
        <v>0</v>
      </c>
      <c r="W191" s="1" t="n">
        <f aca="false">E191</f>
        <v>3506</v>
      </c>
      <c r="X191" s="1" t="n">
        <f aca="false">D191</f>
        <v>71641.9</v>
      </c>
      <c r="Y191" s="1" t="n">
        <f aca="false">G191</f>
        <v>86.4</v>
      </c>
      <c r="Z191" s="1" t="n">
        <f aca="false">F191</f>
        <v>0</v>
      </c>
      <c r="AA191" s="1" t="n">
        <f aca="false">H191</f>
        <v>4.1</v>
      </c>
      <c r="AB191" s="1" t="n">
        <f aca="false">J191</f>
        <v>0</v>
      </c>
      <c r="AC191" s="1" t="n">
        <f aca="false">K191</f>
        <v>0</v>
      </c>
      <c r="AD191" s="1" t="n">
        <f aca="false">L191</f>
        <v>0</v>
      </c>
    </row>
    <row r="192" customFormat="false" ht="15" hidden="false" customHeight="false" outlineLevel="0" collapsed="false">
      <c r="A192" s="5" t="s">
        <v>82</v>
      </c>
      <c r="B192" s="5" t="s">
        <v>28</v>
      </c>
      <c r="C192" s="5" t="s">
        <v>31</v>
      </c>
      <c r="D192" s="5" t="n">
        <v>55788.61</v>
      </c>
      <c r="E192" s="5" t="n">
        <v>2312</v>
      </c>
      <c r="F192" s="5" t="n">
        <v>0.058</v>
      </c>
      <c r="G192" s="5" t="n">
        <v>91.3</v>
      </c>
      <c r="H192" s="5" t="n">
        <v>3.8</v>
      </c>
      <c r="I192" s="5" t="n">
        <v>550962.93</v>
      </c>
      <c r="J192" s="5" t="n">
        <v>0</v>
      </c>
      <c r="K192" s="5" t="n">
        <v>0</v>
      </c>
      <c r="L192" s="5" t="n">
        <v>0</v>
      </c>
      <c r="P192" s="1" t="n">
        <f aca="false">E192</f>
        <v>2312</v>
      </c>
      <c r="Q192" s="1" t="n">
        <f aca="false">D192</f>
        <v>55788.61</v>
      </c>
      <c r="R192" s="1" t="n">
        <f aca="false">G192</f>
        <v>91.3</v>
      </c>
      <c r="S192" s="1" t="n">
        <f aca="false">J192</f>
        <v>0</v>
      </c>
      <c r="T192" s="1" t="n">
        <f aca="false">K192</f>
        <v>0</v>
      </c>
      <c r="U192" s="1" t="n">
        <f aca="false">L192</f>
        <v>0</v>
      </c>
      <c r="W192" s="1" t="n">
        <f aca="false">E192</f>
        <v>2312</v>
      </c>
      <c r="X192" s="1" t="n">
        <f aca="false">D192</f>
        <v>55788.61</v>
      </c>
      <c r="Y192" s="1" t="n">
        <f aca="false">G192</f>
        <v>91.3</v>
      </c>
      <c r="Z192" s="1" t="n">
        <f aca="false">F192</f>
        <v>0.058</v>
      </c>
      <c r="AA192" s="1" t="n">
        <f aca="false">H192</f>
        <v>3.8</v>
      </c>
      <c r="AB192" s="1" t="n">
        <f aca="false">J192</f>
        <v>0</v>
      </c>
      <c r="AC192" s="1" t="n">
        <f aca="false">K192</f>
        <v>0</v>
      </c>
      <c r="AD192" s="1" t="n">
        <f aca="false">L192</f>
        <v>0</v>
      </c>
    </row>
    <row r="193" customFormat="false" ht="15" hidden="false" customHeight="false" outlineLevel="0" collapsed="false">
      <c r="A193" s="5" t="s">
        <v>82</v>
      </c>
      <c r="B193" s="5" t="s">
        <v>28</v>
      </c>
      <c r="C193" s="5" t="s">
        <v>31</v>
      </c>
      <c r="D193" s="5" t="n">
        <v>37705.88</v>
      </c>
      <c r="E193" s="5" t="n">
        <v>1268</v>
      </c>
      <c r="F193" s="5" t="n">
        <v>0.259</v>
      </c>
      <c r="G193" s="5" t="n">
        <v>84.1</v>
      </c>
      <c r="H193" s="5" t="n">
        <v>3.8</v>
      </c>
      <c r="I193" s="5" t="n">
        <v>443275.59</v>
      </c>
      <c r="J193" s="5" t="n">
        <v>0</v>
      </c>
      <c r="K193" s="5" t="n">
        <v>0</v>
      </c>
      <c r="L193" s="5" t="n">
        <v>0</v>
      </c>
      <c r="P193" s="1" t="n">
        <f aca="false">E193</f>
        <v>1268</v>
      </c>
      <c r="Q193" s="1" t="n">
        <f aca="false">D193</f>
        <v>37705.88</v>
      </c>
      <c r="R193" s="1" t="n">
        <f aca="false">G193</f>
        <v>84.1</v>
      </c>
      <c r="S193" s="1" t="n">
        <f aca="false">J193</f>
        <v>0</v>
      </c>
      <c r="T193" s="1" t="n">
        <f aca="false">K193</f>
        <v>0</v>
      </c>
      <c r="U193" s="1" t="n">
        <f aca="false">L193</f>
        <v>0</v>
      </c>
      <c r="W193" s="1" t="n">
        <f aca="false">E193</f>
        <v>1268</v>
      </c>
      <c r="X193" s="1" t="n">
        <f aca="false">D193</f>
        <v>37705.88</v>
      </c>
      <c r="Y193" s="1" t="n">
        <f aca="false">G193</f>
        <v>84.1</v>
      </c>
      <c r="Z193" s="1" t="n">
        <f aca="false">F193</f>
        <v>0.259</v>
      </c>
      <c r="AA193" s="1" t="n">
        <f aca="false">H193</f>
        <v>3.8</v>
      </c>
      <c r="AB193" s="1" t="n">
        <f aca="false">J193</f>
        <v>0</v>
      </c>
      <c r="AC193" s="1" t="n">
        <f aca="false">K193</f>
        <v>0</v>
      </c>
      <c r="AD193" s="1" t="n">
        <f aca="false">L193</f>
        <v>0</v>
      </c>
    </row>
    <row r="194" customFormat="false" ht="15" hidden="false" customHeight="false" outlineLevel="0" collapsed="false">
      <c r="A194" s="5" t="s">
        <v>82</v>
      </c>
      <c r="B194" s="5" t="s">
        <v>28</v>
      </c>
      <c r="C194" s="5" t="s">
        <v>31</v>
      </c>
      <c r="D194" s="5" t="n">
        <v>54966.18</v>
      </c>
      <c r="E194" s="5" t="n">
        <v>4423</v>
      </c>
      <c r="F194" s="5" t="n">
        <v>0.186</v>
      </c>
      <c r="G194" s="5" t="n">
        <v>88.7</v>
      </c>
      <c r="H194" s="5" t="n">
        <v>4.4</v>
      </c>
      <c r="I194" s="5" t="n">
        <v>554012.07</v>
      </c>
      <c r="J194" s="5" t="n">
        <v>0</v>
      </c>
      <c r="K194" s="5" t="n">
        <v>0</v>
      </c>
      <c r="L194" s="5" t="n">
        <v>0</v>
      </c>
      <c r="P194" s="1" t="n">
        <f aca="false">E194</f>
        <v>4423</v>
      </c>
      <c r="Q194" s="1" t="n">
        <f aca="false">D194</f>
        <v>54966.18</v>
      </c>
      <c r="R194" s="1" t="n">
        <f aca="false">G194</f>
        <v>88.7</v>
      </c>
      <c r="S194" s="1" t="n">
        <f aca="false">J194</f>
        <v>0</v>
      </c>
      <c r="T194" s="1" t="n">
        <f aca="false">K194</f>
        <v>0</v>
      </c>
      <c r="U194" s="1" t="n">
        <f aca="false">L194</f>
        <v>0</v>
      </c>
      <c r="W194" s="1" t="n">
        <f aca="false">E194</f>
        <v>4423</v>
      </c>
      <c r="X194" s="1" t="n">
        <f aca="false">D194</f>
        <v>54966.18</v>
      </c>
      <c r="Y194" s="1" t="n">
        <f aca="false">G194</f>
        <v>88.7</v>
      </c>
      <c r="Z194" s="1" t="n">
        <f aca="false">F194</f>
        <v>0.186</v>
      </c>
      <c r="AA194" s="1" t="n">
        <f aca="false">H194</f>
        <v>4.4</v>
      </c>
      <c r="AB194" s="1" t="n">
        <f aca="false">J194</f>
        <v>0</v>
      </c>
      <c r="AC194" s="1" t="n">
        <f aca="false">K194</f>
        <v>0</v>
      </c>
      <c r="AD194" s="1" t="n">
        <f aca="false">L194</f>
        <v>0</v>
      </c>
    </row>
    <row r="195" customFormat="false" ht="15" hidden="false" customHeight="false" outlineLevel="0" collapsed="false">
      <c r="A195" s="5" t="s">
        <v>83</v>
      </c>
      <c r="B195" s="5" t="s">
        <v>40</v>
      </c>
      <c r="C195" s="5" t="s">
        <v>29</v>
      </c>
      <c r="D195" s="5" t="n">
        <v>81796.74</v>
      </c>
      <c r="E195" s="5" t="n">
        <v>6177</v>
      </c>
      <c r="F195" s="5" t="n">
        <v>0.164</v>
      </c>
      <c r="G195" s="5" t="n">
        <v>87.9</v>
      </c>
      <c r="H195" s="5" t="n">
        <v>3.2</v>
      </c>
      <c r="I195" s="5" t="n">
        <v>643428.85</v>
      </c>
      <c r="J195" s="5" t="n">
        <v>0</v>
      </c>
      <c r="K195" s="5" t="n">
        <v>1</v>
      </c>
      <c r="L195" s="5" t="n">
        <v>0</v>
      </c>
      <c r="P195" s="1" t="n">
        <f aca="false">E195</f>
        <v>6177</v>
      </c>
      <c r="Q195" s="1" t="n">
        <f aca="false">D195</f>
        <v>81796.74</v>
      </c>
      <c r="R195" s="1" t="n">
        <f aca="false">G195</f>
        <v>87.9</v>
      </c>
      <c r="S195" s="1" t="n">
        <f aca="false">J195</f>
        <v>0</v>
      </c>
      <c r="T195" s="1" t="n">
        <f aca="false">K195</f>
        <v>1</v>
      </c>
      <c r="U195" s="1" t="n">
        <f aca="false">L195</f>
        <v>0</v>
      </c>
      <c r="W195" s="1" t="n">
        <f aca="false">E195</f>
        <v>6177</v>
      </c>
      <c r="X195" s="1" t="n">
        <f aca="false">D195</f>
        <v>81796.74</v>
      </c>
      <c r="Y195" s="1" t="n">
        <f aca="false">G195</f>
        <v>87.9</v>
      </c>
      <c r="Z195" s="1" t="n">
        <f aca="false">F195</f>
        <v>0.164</v>
      </c>
      <c r="AA195" s="1" t="n">
        <f aca="false">H195</f>
        <v>3.2</v>
      </c>
      <c r="AB195" s="1" t="n">
        <f aca="false">J195</f>
        <v>0</v>
      </c>
      <c r="AC195" s="1" t="n">
        <f aca="false">K195</f>
        <v>1</v>
      </c>
      <c r="AD195" s="1" t="n">
        <f aca="false">L195</f>
        <v>0</v>
      </c>
    </row>
    <row r="196" customFormat="false" ht="15" hidden="false" customHeight="false" outlineLevel="0" collapsed="false">
      <c r="A196" s="5" t="s">
        <v>83</v>
      </c>
      <c r="B196" s="5" t="s">
        <v>40</v>
      </c>
      <c r="C196" s="5" t="s">
        <v>29</v>
      </c>
      <c r="D196" s="5" t="n">
        <v>51133.43</v>
      </c>
      <c r="E196" s="5" t="n">
        <v>5150</v>
      </c>
      <c r="F196" s="5" t="n">
        <v>0.15</v>
      </c>
      <c r="G196" s="5" t="n">
        <v>88.5</v>
      </c>
      <c r="H196" s="5" t="n">
        <v>3.2</v>
      </c>
      <c r="I196" s="5" t="n">
        <v>611924.27</v>
      </c>
      <c r="J196" s="5" t="n">
        <v>0</v>
      </c>
      <c r="K196" s="5" t="n">
        <v>1</v>
      </c>
      <c r="L196" s="5" t="n">
        <v>0</v>
      </c>
      <c r="P196" s="1" t="n">
        <f aca="false">E196</f>
        <v>5150</v>
      </c>
      <c r="Q196" s="1" t="n">
        <f aca="false">D196</f>
        <v>51133.43</v>
      </c>
      <c r="R196" s="1" t="n">
        <f aca="false">G196</f>
        <v>88.5</v>
      </c>
      <c r="S196" s="1" t="n">
        <f aca="false">J196</f>
        <v>0</v>
      </c>
      <c r="T196" s="1" t="n">
        <f aca="false">K196</f>
        <v>1</v>
      </c>
      <c r="U196" s="1" t="n">
        <f aca="false">L196</f>
        <v>0</v>
      </c>
      <c r="W196" s="1" t="n">
        <f aca="false">E196</f>
        <v>5150</v>
      </c>
      <c r="X196" s="1" t="n">
        <f aca="false">D196</f>
        <v>51133.43</v>
      </c>
      <c r="Y196" s="1" t="n">
        <f aca="false">G196</f>
        <v>88.5</v>
      </c>
      <c r="Z196" s="1" t="n">
        <f aca="false">F196</f>
        <v>0.15</v>
      </c>
      <c r="AA196" s="1" t="n">
        <f aca="false">H196</f>
        <v>3.2</v>
      </c>
      <c r="AB196" s="1" t="n">
        <f aca="false">J196</f>
        <v>0</v>
      </c>
      <c r="AC196" s="1" t="n">
        <f aca="false">K196</f>
        <v>1</v>
      </c>
      <c r="AD196" s="1" t="n">
        <f aca="false">L196</f>
        <v>0</v>
      </c>
    </row>
    <row r="197" customFormat="false" ht="15" hidden="false" customHeight="false" outlineLevel="0" collapsed="false">
      <c r="A197" s="5" t="s">
        <v>83</v>
      </c>
      <c r="B197" s="5" t="s">
        <v>40</v>
      </c>
      <c r="C197" s="5" t="s">
        <v>29</v>
      </c>
      <c r="D197" s="5" t="n">
        <v>40220.18</v>
      </c>
      <c r="E197" s="5" t="n">
        <v>3783</v>
      </c>
      <c r="F197" s="5" t="n">
        <v>0.089</v>
      </c>
      <c r="G197" s="5" t="n">
        <v>86.6</v>
      </c>
      <c r="H197" s="5" t="n">
        <v>3.7</v>
      </c>
      <c r="I197" s="5" t="n">
        <v>559422.02</v>
      </c>
      <c r="J197" s="5" t="n">
        <v>0</v>
      </c>
      <c r="K197" s="5" t="n">
        <v>1</v>
      </c>
      <c r="L197" s="5" t="n">
        <v>0</v>
      </c>
      <c r="P197" s="1" t="n">
        <f aca="false">E197</f>
        <v>3783</v>
      </c>
      <c r="Q197" s="1" t="n">
        <f aca="false">D197</f>
        <v>40220.18</v>
      </c>
      <c r="R197" s="1" t="n">
        <f aca="false">G197</f>
        <v>86.6</v>
      </c>
      <c r="S197" s="1" t="n">
        <f aca="false">J197</f>
        <v>0</v>
      </c>
      <c r="T197" s="1" t="n">
        <f aca="false">K197</f>
        <v>1</v>
      </c>
      <c r="U197" s="1" t="n">
        <f aca="false">L197</f>
        <v>0</v>
      </c>
      <c r="W197" s="1" t="n">
        <f aca="false">E197</f>
        <v>3783</v>
      </c>
      <c r="X197" s="1" t="n">
        <f aca="false">D197</f>
        <v>40220.18</v>
      </c>
      <c r="Y197" s="1" t="n">
        <f aca="false">G197</f>
        <v>86.6</v>
      </c>
      <c r="Z197" s="1" t="n">
        <f aca="false">F197</f>
        <v>0.089</v>
      </c>
      <c r="AA197" s="1" t="n">
        <f aca="false">H197</f>
        <v>3.7</v>
      </c>
      <c r="AB197" s="1" t="n">
        <f aca="false">J197</f>
        <v>0</v>
      </c>
      <c r="AC197" s="1" t="n">
        <f aca="false">K197</f>
        <v>1</v>
      </c>
      <c r="AD197" s="1" t="n">
        <f aca="false">L197</f>
        <v>0</v>
      </c>
    </row>
    <row r="198" customFormat="false" ht="15" hidden="false" customHeight="false" outlineLevel="0" collapsed="false">
      <c r="A198" s="5" t="s">
        <v>83</v>
      </c>
      <c r="B198" s="5" t="s">
        <v>40</v>
      </c>
      <c r="C198" s="5" t="s">
        <v>29</v>
      </c>
      <c r="D198" s="5" t="n">
        <v>41657.64</v>
      </c>
      <c r="E198" s="5" t="n">
        <v>3135</v>
      </c>
      <c r="F198" s="5" t="n">
        <v>0.229</v>
      </c>
      <c r="G198" s="5" t="n">
        <v>85.4</v>
      </c>
      <c r="H198" s="5" t="n">
        <v>3.92467948717949</v>
      </c>
      <c r="I198" s="5" t="n">
        <v>449465.06</v>
      </c>
      <c r="J198" s="5" t="n">
        <v>0</v>
      </c>
      <c r="K198" s="5" t="n">
        <v>1</v>
      </c>
      <c r="L198" s="5" t="n">
        <v>0</v>
      </c>
      <c r="P198" s="1" t="n">
        <f aca="false">E198</f>
        <v>3135</v>
      </c>
      <c r="Q198" s="1" t="n">
        <f aca="false">D198</f>
        <v>41657.64</v>
      </c>
      <c r="R198" s="1" t="n">
        <f aca="false">G198</f>
        <v>85.4</v>
      </c>
      <c r="S198" s="1" t="n">
        <f aca="false">J198</f>
        <v>0</v>
      </c>
      <c r="T198" s="1" t="n">
        <f aca="false">K198</f>
        <v>1</v>
      </c>
      <c r="U198" s="1" t="n">
        <f aca="false">L198</f>
        <v>0</v>
      </c>
      <c r="W198" s="1" t="n">
        <f aca="false">E198</f>
        <v>3135</v>
      </c>
      <c r="X198" s="1" t="n">
        <f aca="false">D198</f>
        <v>41657.64</v>
      </c>
      <c r="Y198" s="1" t="n">
        <f aca="false">G198</f>
        <v>85.4</v>
      </c>
      <c r="Z198" s="1" t="n">
        <f aca="false">F198</f>
        <v>0.229</v>
      </c>
      <c r="AA198" s="1" t="n">
        <f aca="false">H198</f>
        <v>3.92467948717949</v>
      </c>
      <c r="AB198" s="1" t="n">
        <f aca="false">J198</f>
        <v>0</v>
      </c>
      <c r="AC198" s="1" t="n">
        <f aca="false">K198</f>
        <v>1</v>
      </c>
      <c r="AD198" s="1" t="n">
        <f aca="false">L198</f>
        <v>0</v>
      </c>
    </row>
    <row r="199" customFormat="false" ht="15" hidden="false" customHeight="false" outlineLevel="0" collapsed="false">
      <c r="A199" s="5" t="s">
        <v>84</v>
      </c>
      <c r="B199" s="5" t="s">
        <v>33</v>
      </c>
      <c r="C199" s="5" t="s">
        <v>29</v>
      </c>
      <c r="D199" s="5" t="n">
        <v>71851.45</v>
      </c>
      <c r="E199" s="5" t="n">
        <v>4970</v>
      </c>
      <c r="F199" s="5" t="n">
        <v>0.098</v>
      </c>
      <c r="G199" s="5" t="n">
        <v>89.6</v>
      </c>
      <c r="H199" s="5" t="n">
        <v>4.2</v>
      </c>
      <c r="I199" s="5" t="n">
        <v>691447.43</v>
      </c>
      <c r="J199" s="5" t="n">
        <v>0</v>
      </c>
      <c r="K199" s="5" t="n">
        <v>1</v>
      </c>
      <c r="L199" s="5" t="n">
        <v>0</v>
      </c>
      <c r="P199" s="1" t="n">
        <f aca="false">E199</f>
        <v>4970</v>
      </c>
      <c r="Q199" s="1" t="n">
        <f aca="false">D199</f>
        <v>71851.45</v>
      </c>
      <c r="R199" s="1" t="n">
        <f aca="false">G199</f>
        <v>89.6</v>
      </c>
      <c r="S199" s="1" t="n">
        <f aca="false">J199</f>
        <v>0</v>
      </c>
      <c r="T199" s="1" t="n">
        <f aca="false">K199</f>
        <v>1</v>
      </c>
      <c r="U199" s="1" t="n">
        <f aca="false">L199</f>
        <v>0</v>
      </c>
      <c r="W199" s="1" t="n">
        <f aca="false">E199</f>
        <v>4970</v>
      </c>
      <c r="X199" s="1" t="n">
        <f aca="false">D199</f>
        <v>71851.45</v>
      </c>
      <c r="Y199" s="1" t="n">
        <f aca="false">G199</f>
        <v>89.6</v>
      </c>
      <c r="Z199" s="1" t="n">
        <f aca="false">F199</f>
        <v>0.098</v>
      </c>
      <c r="AA199" s="1" t="n">
        <f aca="false">H199</f>
        <v>4.2</v>
      </c>
      <c r="AB199" s="1" t="n">
        <f aca="false">J199</f>
        <v>0</v>
      </c>
      <c r="AC199" s="1" t="n">
        <f aca="false">K199</f>
        <v>1</v>
      </c>
      <c r="AD199" s="1" t="n">
        <f aca="false">L199</f>
        <v>0</v>
      </c>
    </row>
    <row r="200" customFormat="false" ht="15" hidden="false" customHeight="false" outlineLevel="0" collapsed="false">
      <c r="A200" s="5" t="s">
        <v>84</v>
      </c>
      <c r="B200" s="5" t="s">
        <v>33</v>
      </c>
      <c r="C200" s="5" t="s">
        <v>29</v>
      </c>
      <c r="D200" s="5" t="n">
        <v>54002.83</v>
      </c>
      <c r="E200" s="5" t="n">
        <v>4366</v>
      </c>
      <c r="F200" s="5" t="n">
        <v>0.027</v>
      </c>
      <c r="G200" s="5" t="n">
        <v>90.6</v>
      </c>
      <c r="H200" s="5" t="n">
        <v>4.6</v>
      </c>
      <c r="I200" s="5" t="n">
        <v>574066.61</v>
      </c>
      <c r="J200" s="5" t="n">
        <v>0</v>
      </c>
      <c r="K200" s="5" t="n">
        <v>1</v>
      </c>
      <c r="L200" s="5" t="n">
        <v>0</v>
      </c>
      <c r="P200" s="1" t="n">
        <f aca="false">E200</f>
        <v>4366</v>
      </c>
      <c r="Q200" s="1" t="n">
        <f aca="false">D200</f>
        <v>54002.83</v>
      </c>
      <c r="R200" s="1" t="n">
        <f aca="false">G200</f>
        <v>90.6</v>
      </c>
      <c r="S200" s="1" t="n">
        <f aca="false">J200</f>
        <v>0</v>
      </c>
      <c r="T200" s="1" t="n">
        <f aca="false">K200</f>
        <v>1</v>
      </c>
      <c r="U200" s="1" t="n">
        <f aca="false">L200</f>
        <v>0</v>
      </c>
      <c r="W200" s="1" t="n">
        <f aca="false">E200</f>
        <v>4366</v>
      </c>
      <c r="X200" s="1" t="n">
        <f aca="false">D200</f>
        <v>54002.83</v>
      </c>
      <c r="Y200" s="1" t="n">
        <f aca="false">G200</f>
        <v>90.6</v>
      </c>
      <c r="Z200" s="1" t="n">
        <f aca="false">F200</f>
        <v>0.027</v>
      </c>
      <c r="AA200" s="1" t="n">
        <f aca="false">H200</f>
        <v>4.6</v>
      </c>
      <c r="AB200" s="1" t="n">
        <f aca="false">J200</f>
        <v>0</v>
      </c>
      <c r="AC200" s="1" t="n">
        <f aca="false">K200</f>
        <v>1</v>
      </c>
      <c r="AD200" s="1" t="n">
        <f aca="false">L200</f>
        <v>0</v>
      </c>
    </row>
    <row r="201" customFormat="false" ht="15" hidden="false" customHeight="false" outlineLevel="0" collapsed="false">
      <c r="A201" s="5" t="s">
        <v>84</v>
      </c>
      <c r="B201" s="5" t="s">
        <v>33</v>
      </c>
      <c r="C201" s="5" t="s">
        <v>29</v>
      </c>
      <c r="D201" s="5" t="n">
        <v>54479.33</v>
      </c>
      <c r="E201" s="5" t="n">
        <v>5012</v>
      </c>
      <c r="F201" s="5" t="n">
        <v>0.284</v>
      </c>
      <c r="G201" s="5" t="n">
        <v>86</v>
      </c>
      <c r="H201" s="5" t="n">
        <v>4.3</v>
      </c>
      <c r="I201" s="5" t="n">
        <v>578949.84</v>
      </c>
      <c r="J201" s="5" t="n">
        <v>0</v>
      </c>
      <c r="K201" s="5" t="n">
        <v>1</v>
      </c>
      <c r="L201" s="5" t="n">
        <v>0</v>
      </c>
      <c r="P201" s="1" t="n">
        <f aca="false">E201</f>
        <v>5012</v>
      </c>
      <c r="Q201" s="1" t="n">
        <f aca="false">D201</f>
        <v>54479.33</v>
      </c>
      <c r="R201" s="1" t="n">
        <f aca="false">G201</f>
        <v>86</v>
      </c>
      <c r="S201" s="1" t="n">
        <f aca="false">J201</f>
        <v>0</v>
      </c>
      <c r="T201" s="1" t="n">
        <f aca="false">K201</f>
        <v>1</v>
      </c>
      <c r="U201" s="1" t="n">
        <f aca="false">L201</f>
        <v>0</v>
      </c>
      <c r="W201" s="1" t="n">
        <f aca="false">E201</f>
        <v>5012</v>
      </c>
      <c r="X201" s="1" t="n">
        <f aca="false">D201</f>
        <v>54479.33</v>
      </c>
      <c r="Y201" s="1" t="n">
        <f aca="false">G201</f>
        <v>86</v>
      </c>
      <c r="Z201" s="1" t="n">
        <f aca="false">F201</f>
        <v>0.284</v>
      </c>
      <c r="AA201" s="1" t="n">
        <f aca="false">H201</f>
        <v>4.3</v>
      </c>
      <c r="AB201" s="1" t="n">
        <f aca="false">J201</f>
        <v>0</v>
      </c>
      <c r="AC201" s="1" t="n">
        <f aca="false">K201</f>
        <v>1</v>
      </c>
      <c r="AD201" s="1" t="n">
        <f aca="false">L201</f>
        <v>0</v>
      </c>
    </row>
    <row r="202" customFormat="false" ht="15" hidden="false" customHeight="false" outlineLevel="0" collapsed="false">
      <c r="A202" s="5" t="s">
        <v>84</v>
      </c>
      <c r="B202" s="5" t="s">
        <v>33</v>
      </c>
      <c r="C202" s="5" t="s">
        <v>29</v>
      </c>
      <c r="D202" s="5" t="n">
        <v>61391.8</v>
      </c>
      <c r="E202" s="5" t="n">
        <v>5575</v>
      </c>
      <c r="F202" s="5" t="n">
        <v>0.189</v>
      </c>
      <c r="G202" s="5" t="n">
        <v>90</v>
      </c>
      <c r="H202" s="5" t="n">
        <v>4.8</v>
      </c>
      <c r="I202" s="5" t="n">
        <v>735786.64</v>
      </c>
      <c r="J202" s="5" t="n">
        <v>0</v>
      </c>
      <c r="K202" s="5" t="n">
        <v>1</v>
      </c>
      <c r="L202" s="5" t="n">
        <v>0</v>
      </c>
      <c r="P202" s="1" t="n">
        <f aca="false">E202</f>
        <v>5575</v>
      </c>
      <c r="Q202" s="1" t="n">
        <f aca="false">D202</f>
        <v>61391.8</v>
      </c>
      <c r="R202" s="1" t="n">
        <f aca="false">G202</f>
        <v>90</v>
      </c>
      <c r="S202" s="1" t="n">
        <f aca="false">J202</f>
        <v>0</v>
      </c>
      <c r="T202" s="1" t="n">
        <f aca="false">K202</f>
        <v>1</v>
      </c>
      <c r="U202" s="1" t="n">
        <f aca="false">L202</f>
        <v>0</v>
      </c>
      <c r="W202" s="1" t="n">
        <f aca="false">E202</f>
        <v>5575</v>
      </c>
      <c r="X202" s="1" t="n">
        <f aca="false">D202</f>
        <v>61391.8</v>
      </c>
      <c r="Y202" s="1" t="n">
        <f aca="false">G202</f>
        <v>90</v>
      </c>
      <c r="Z202" s="1" t="n">
        <f aca="false">F202</f>
        <v>0.189</v>
      </c>
      <c r="AA202" s="1" t="n">
        <f aca="false">H202</f>
        <v>4.8</v>
      </c>
      <c r="AB202" s="1" t="n">
        <f aca="false">J202</f>
        <v>0</v>
      </c>
      <c r="AC202" s="1" t="n">
        <f aca="false">K202</f>
        <v>1</v>
      </c>
      <c r="AD202" s="1" t="n">
        <f aca="false">L202</f>
        <v>0</v>
      </c>
    </row>
    <row r="203" customFormat="false" ht="15" hidden="false" customHeight="false" outlineLevel="0" collapsed="false">
      <c r="A203" s="5" t="s">
        <v>85</v>
      </c>
      <c r="B203" s="5" t="s">
        <v>28</v>
      </c>
      <c r="C203" s="5" t="s">
        <v>34</v>
      </c>
      <c r="D203" s="5" t="n">
        <v>22312.93</v>
      </c>
      <c r="E203" s="5" t="n">
        <v>5955</v>
      </c>
      <c r="F203" s="5" t="n">
        <v>0.123</v>
      </c>
      <c r="G203" s="5" t="n">
        <v>84.2</v>
      </c>
      <c r="H203" s="5" t="n">
        <v>4.6</v>
      </c>
      <c r="I203" s="5" t="n">
        <v>598904.9</v>
      </c>
      <c r="J203" s="5" t="n">
        <v>0</v>
      </c>
      <c r="K203" s="5" t="n">
        <v>0</v>
      </c>
      <c r="L203" s="5" t="n">
        <v>1</v>
      </c>
      <c r="P203" s="1" t="n">
        <f aca="false">E203</f>
        <v>5955</v>
      </c>
      <c r="Q203" s="1" t="n">
        <f aca="false">D203</f>
        <v>22312.93</v>
      </c>
      <c r="R203" s="1" t="n">
        <f aca="false">G203</f>
        <v>84.2</v>
      </c>
      <c r="S203" s="1" t="n">
        <f aca="false">J203</f>
        <v>0</v>
      </c>
      <c r="T203" s="1" t="n">
        <f aca="false">K203</f>
        <v>0</v>
      </c>
      <c r="U203" s="1" t="n">
        <f aca="false">L203</f>
        <v>1</v>
      </c>
      <c r="W203" s="1" t="n">
        <f aca="false">E203</f>
        <v>5955</v>
      </c>
      <c r="X203" s="1" t="n">
        <f aca="false">D203</f>
        <v>22312.93</v>
      </c>
      <c r="Y203" s="1" t="n">
        <f aca="false">G203</f>
        <v>84.2</v>
      </c>
      <c r="Z203" s="1" t="n">
        <f aca="false">F203</f>
        <v>0.123</v>
      </c>
      <c r="AA203" s="1" t="n">
        <f aca="false">H203</f>
        <v>4.6</v>
      </c>
      <c r="AB203" s="1" t="n">
        <f aca="false">J203</f>
        <v>0</v>
      </c>
      <c r="AC203" s="1" t="n">
        <f aca="false">K203</f>
        <v>0</v>
      </c>
      <c r="AD203" s="1" t="n">
        <f aca="false">L203</f>
        <v>1</v>
      </c>
    </row>
    <row r="204" customFormat="false" ht="15" hidden="false" customHeight="false" outlineLevel="0" collapsed="false">
      <c r="A204" s="5" t="s">
        <v>85</v>
      </c>
      <c r="B204" s="5" t="s">
        <v>28</v>
      </c>
      <c r="C204" s="5" t="s">
        <v>34</v>
      </c>
      <c r="D204" s="5" t="n">
        <v>78111.97</v>
      </c>
      <c r="E204" s="5" t="n">
        <v>6389</v>
      </c>
      <c r="F204" s="5" t="n">
        <v>0.15</v>
      </c>
      <c r="G204" s="5" t="n">
        <v>83.9</v>
      </c>
      <c r="H204" s="5" t="n">
        <v>4.8</v>
      </c>
      <c r="I204" s="5" t="n">
        <v>787715.51</v>
      </c>
      <c r="J204" s="5" t="n">
        <v>0</v>
      </c>
      <c r="K204" s="5" t="n">
        <v>0</v>
      </c>
      <c r="L204" s="5" t="n">
        <v>1</v>
      </c>
      <c r="P204" s="1" t="n">
        <f aca="false">E204</f>
        <v>6389</v>
      </c>
      <c r="Q204" s="1" t="n">
        <f aca="false">D204</f>
        <v>78111.97</v>
      </c>
      <c r="R204" s="1" t="n">
        <f aca="false">G204</f>
        <v>83.9</v>
      </c>
      <c r="S204" s="1" t="n">
        <f aca="false">J204</f>
        <v>0</v>
      </c>
      <c r="T204" s="1" t="n">
        <f aca="false">K204</f>
        <v>0</v>
      </c>
      <c r="U204" s="1" t="n">
        <f aca="false">L204</f>
        <v>1</v>
      </c>
      <c r="W204" s="1" t="n">
        <f aca="false">E204</f>
        <v>6389</v>
      </c>
      <c r="X204" s="1" t="n">
        <f aca="false">D204</f>
        <v>78111.97</v>
      </c>
      <c r="Y204" s="1" t="n">
        <f aca="false">G204</f>
        <v>83.9</v>
      </c>
      <c r="Z204" s="1" t="n">
        <f aca="false">F204</f>
        <v>0.15</v>
      </c>
      <c r="AA204" s="1" t="n">
        <f aca="false">H204</f>
        <v>4.8</v>
      </c>
      <c r="AB204" s="1" t="n">
        <f aca="false">J204</f>
        <v>0</v>
      </c>
      <c r="AC204" s="1" t="n">
        <f aca="false">K204</f>
        <v>0</v>
      </c>
      <c r="AD204" s="1" t="n">
        <f aca="false">L204</f>
        <v>1</v>
      </c>
    </row>
    <row r="205" customFormat="false" ht="15" hidden="false" customHeight="false" outlineLevel="0" collapsed="false">
      <c r="A205" s="5" t="s">
        <v>85</v>
      </c>
      <c r="B205" s="5" t="s">
        <v>28</v>
      </c>
      <c r="C205" s="5" t="s">
        <v>34</v>
      </c>
      <c r="D205" s="5" t="n">
        <v>35203.23</v>
      </c>
      <c r="E205" s="5" t="n">
        <v>6896</v>
      </c>
      <c r="F205" s="5" t="n">
        <v>0.032</v>
      </c>
      <c r="G205" s="5" t="n">
        <v>80.8</v>
      </c>
      <c r="H205" s="5" t="n">
        <v>5</v>
      </c>
      <c r="I205" s="5" t="n">
        <v>607084.92</v>
      </c>
      <c r="J205" s="5" t="n">
        <v>0</v>
      </c>
      <c r="K205" s="5" t="n">
        <v>0</v>
      </c>
      <c r="L205" s="5" t="n">
        <v>1</v>
      </c>
      <c r="P205" s="1" t="n">
        <f aca="false">E205</f>
        <v>6896</v>
      </c>
      <c r="Q205" s="1" t="n">
        <f aca="false">D205</f>
        <v>35203.23</v>
      </c>
      <c r="R205" s="1" t="n">
        <f aca="false">G205</f>
        <v>80.8</v>
      </c>
      <c r="S205" s="1" t="n">
        <f aca="false">J205</f>
        <v>0</v>
      </c>
      <c r="T205" s="1" t="n">
        <f aca="false">K205</f>
        <v>0</v>
      </c>
      <c r="U205" s="1" t="n">
        <f aca="false">L205</f>
        <v>1</v>
      </c>
      <c r="W205" s="1" t="n">
        <f aca="false">E205</f>
        <v>6896</v>
      </c>
      <c r="X205" s="1" t="n">
        <f aca="false">D205</f>
        <v>35203.23</v>
      </c>
      <c r="Y205" s="1" t="n">
        <f aca="false">G205</f>
        <v>80.8</v>
      </c>
      <c r="Z205" s="1" t="n">
        <f aca="false">F205</f>
        <v>0.032</v>
      </c>
      <c r="AA205" s="1" t="n">
        <f aca="false">H205</f>
        <v>5</v>
      </c>
      <c r="AB205" s="1" t="n">
        <f aca="false">J205</f>
        <v>0</v>
      </c>
      <c r="AC205" s="1" t="n">
        <f aca="false">K205</f>
        <v>0</v>
      </c>
      <c r="AD205" s="1" t="n">
        <f aca="false">L205</f>
        <v>1</v>
      </c>
    </row>
    <row r="206" customFormat="false" ht="15" hidden="false" customHeight="false" outlineLevel="0" collapsed="false">
      <c r="A206" s="5" t="s">
        <v>85</v>
      </c>
      <c r="B206" s="5" t="s">
        <v>28</v>
      </c>
      <c r="C206" s="5" t="s">
        <v>34</v>
      </c>
      <c r="D206" s="5" t="n">
        <v>64104.28</v>
      </c>
      <c r="E206" s="5" t="n">
        <v>6015</v>
      </c>
      <c r="F206" s="5" t="n">
        <v>0.127</v>
      </c>
      <c r="G206" s="5" t="n">
        <v>88.7</v>
      </c>
      <c r="H206" s="5" t="n">
        <v>4</v>
      </c>
      <c r="I206" s="5" t="n">
        <v>650795.49</v>
      </c>
      <c r="J206" s="5" t="n">
        <v>0</v>
      </c>
      <c r="K206" s="5" t="n">
        <v>0</v>
      </c>
      <c r="L206" s="5" t="n">
        <v>1</v>
      </c>
      <c r="P206" s="1" t="n">
        <f aca="false">E206</f>
        <v>6015</v>
      </c>
      <c r="Q206" s="1" t="n">
        <f aca="false">D206</f>
        <v>64104.28</v>
      </c>
      <c r="R206" s="1" t="n">
        <f aca="false">G206</f>
        <v>88.7</v>
      </c>
      <c r="S206" s="1" t="n">
        <f aca="false">J206</f>
        <v>0</v>
      </c>
      <c r="T206" s="1" t="n">
        <f aca="false">K206</f>
        <v>0</v>
      </c>
      <c r="U206" s="1" t="n">
        <f aca="false">L206</f>
        <v>1</v>
      </c>
      <c r="W206" s="1" t="n">
        <f aca="false">E206</f>
        <v>6015</v>
      </c>
      <c r="X206" s="1" t="n">
        <f aca="false">D206</f>
        <v>64104.28</v>
      </c>
      <c r="Y206" s="1" t="n">
        <f aca="false">G206</f>
        <v>88.7</v>
      </c>
      <c r="Z206" s="1" t="n">
        <f aca="false">F206</f>
        <v>0.127</v>
      </c>
      <c r="AA206" s="1" t="n">
        <f aca="false">H206</f>
        <v>4</v>
      </c>
      <c r="AB206" s="1" t="n">
        <f aca="false">J206</f>
        <v>0</v>
      </c>
      <c r="AC206" s="1" t="n">
        <f aca="false">K206</f>
        <v>0</v>
      </c>
      <c r="AD206" s="1" t="n">
        <f aca="false">L206</f>
        <v>1</v>
      </c>
    </row>
    <row r="207" customFormat="false" ht="15" hidden="false" customHeight="false" outlineLevel="0" collapsed="false">
      <c r="A207" s="5" t="s">
        <v>86</v>
      </c>
      <c r="B207" s="5" t="s">
        <v>28</v>
      </c>
      <c r="C207" s="5" t="s">
        <v>41</v>
      </c>
      <c r="D207" s="5" t="n">
        <v>92090.14</v>
      </c>
      <c r="E207" s="5" t="n">
        <v>9476</v>
      </c>
      <c r="F207" s="5" t="n">
        <v>0.07</v>
      </c>
      <c r="G207" s="5" t="n">
        <v>94.3</v>
      </c>
      <c r="H207" s="5" t="n">
        <v>3.7</v>
      </c>
      <c r="I207" s="5" t="n">
        <v>825060.52</v>
      </c>
      <c r="J207" s="5" t="n">
        <v>1</v>
      </c>
      <c r="K207" s="5" t="n">
        <v>0</v>
      </c>
      <c r="L207" s="5" t="n">
        <v>0</v>
      </c>
      <c r="P207" s="1" t="n">
        <f aca="false">E207</f>
        <v>9476</v>
      </c>
      <c r="Q207" s="1" t="n">
        <f aca="false">D207</f>
        <v>92090.14</v>
      </c>
      <c r="R207" s="1" t="n">
        <f aca="false">G207</f>
        <v>94.3</v>
      </c>
      <c r="S207" s="1" t="n">
        <f aca="false">J207</f>
        <v>1</v>
      </c>
      <c r="T207" s="1" t="n">
        <f aca="false">K207</f>
        <v>0</v>
      </c>
      <c r="U207" s="1" t="n">
        <f aca="false">L207</f>
        <v>0</v>
      </c>
      <c r="W207" s="1" t="n">
        <f aca="false">E207</f>
        <v>9476</v>
      </c>
      <c r="X207" s="1" t="n">
        <f aca="false">D207</f>
        <v>92090.14</v>
      </c>
      <c r="Y207" s="1" t="n">
        <f aca="false">G207</f>
        <v>94.3</v>
      </c>
      <c r="Z207" s="1" t="n">
        <f aca="false">F207</f>
        <v>0.07</v>
      </c>
      <c r="AA207" s="1" t="n">
        <f aca="false">H207</f>
        <v>3.7</v>
      </c>
      <c r="AB207" s="1" t="n">
        <f aca="false">J207</f>
        <v>1</v>
      </c>
      <c r="AC207" s="1" t="n">
        <f aca="false">K207</f>
        <v>0</v>
      </c>
      <c r="AD207" s="1" t="n">
        <f aca="false">L207</f>
        <v>0</v>
      </c>
    </row>
    <row r="208" customFormat="false" ht="15" hidden="false" customHeight="false" outlineLevel="0" collapsed="false">
      <c r="A208" s="5" t="s">
        <v>86</v>
      </c>
      <c r="B208" s="5" t="s">
        <v>28</v>
      </c>
      <c r="C208" s="5" t="s">
        <v>41</v>
      </c>
      <c r="D208" s="5" t="n">
        <v>54300.87</v>
      </c>
      <c r="E208" s="5" t="n">
        <v>7875</v>
      </c>
      <c r="F208" s="5" t="n">
        <v>0.107</v>
      </c>
      <c r="G208" s="5" t="n">
        <v>94.1</v>
      </c>
      <c r="H208" s="5" t="n">
        <v>3.7</v>
      </c>
      <c r="I208" s="5" t="n">
        <v>795464.47</v>
      </c>
      <c r="J208" s="5" t="n">
        <v>1</v>
      </c>
      <c r="K208" s="5" t="n">
        <v>0</v>
      </c>
      <c r="L208" s="5" t="n">
        <v>0</v>
      </c>
      <c r="P208" s="1" t="n">
        <f aca="false">E208</f>
        <v>7875</v>
      </c>
      <c r="Q208" s="1" t="n">
        <f aca="false">D208</f>
        <v>54300.87</v>
      </c>
      <c r="R208" s="1" t="n">
        <f aca="false">G208</f>
        <v>94.1</v>
      </c>
      <c r="S208" s="1" t="n">
        <f aca="false">J208</f>
        <v>1</v>
      </c>
      <c r="T208" s="1" t="n">
        <f aca="false">K208</f>
        <v>0</v>
      </c>
      <c r="U208" s="1" t="n">
        <f aca="false">L208</f>
        <v>0</v>
      </c>
      <c r="W208" s="1" t="n">
        <f aca="false">E208</f>
        <v>7875</v>
      </c>
      <c r="X208" s="1" t="n">
        <f aca="false">D208</f>
        <v>54300.87</v>
      </c>
      <c r="Y208" s="1" t="n">
        <f aca="false">G208</f>
        <v>94.1</v>
      </c>
      <c r="Z208" s="1" t="n">
        <f aca="false">F208</f>
        <v>0.107</v>
      </c>
      <c r="AA208" s="1" t="n">
        <f aca="false">H208</f>
        <v>3.7</v>
      </c>
      <c r="AB208" s="1" t="n">
        <f aca="false">J208</f>
        <v>1</v>
      </c>
      <c r="AC208" s="1" t="n">
        <f aca="false">K208</f>
        <v>0</v>
      </c>
      <c r="AD208" s="1" t="n">
        <f aca="false">L208</f>
        <v>0</v>
      </c>
    </row>
    <row r="209" customFormat="false" ht="15" hidden="false" customHeight="false" outlineLevel="0" collapsed="false">
      <c r="A209" s="5" t="s">
        <v>86</v>
      </c>
      <c r="B209" s="5" t="s">
        <v>28</v>
      </c>
      <c r="C209" s="5" t="s">
        <v>41</v>
      </c>
      <c r="D209" s="5" t="n">
        <v>37983.35</v>
      </c>
      <c r="E209" s="5" t="n">
        <v>9283</v>
      </c>
      <c r="F209" s="5" t="n">
        <v>0.149</v>
      </c>
      <c r="G209" s="5" t="n">
        <v>83.2</v>
      </c>
      <c r="H209" s="5" t="n">
        <v>3.7</v>
      </c>
      <c r="I209" s="5" t="n">
        <v>671868.59</v>
      </c>
      <c r="J209" s="5" t="n">
        <v>1</v>
      </c>
      <c r="K209" s="5" t="n">
        <v>0</v>
      </c>
      <c r="L209" s="5" t="n">
        <v>0</v>
      </c>
      <c r="P209" s="1" t="n">
        <f aca="false">E209</f>
        <v>9283</v>
      </c>
      <c r="Q209" s="1" t="n">
        <f aca="false">D209</f>
        <v>37983.35</v>
      </c>
      <c r="R209" s="1" t="n">
        <f aca="false">G209</f>
        <v>83.2</v>
      </c>
      <c r="S209" s="1" t="n">
        <f aca="false">J209</f>
        <v>1</v>
      </c>
      <c r="T209" s="1" t="n">
        <f aca="false">K209</f>
        <v>0</v>
      </c>
      <c r="U209" s="1" t="n">
        <f aca="false">L209</f>
        <v>0</v>
      </c>
      <c r="W209" s="1" t="n">
        <f aca="false">E209</f>
        <v>9283</v>
      </c>
      <c r="X209" s="1" t="n">
        <f aca="false">D209</f>
        <v>37983.35</v>
      </c>
      <c r="Y209" s="1" t="n">
        <f aca="false">G209</f>
        <v>83.2</v>
      </c>
      <c r="Z209" s="1" t="n">
        <f aca="false">F209</f>
        <v>0.149</v>
      </c>
      <c r="AA209" s="1" t="n">
        <f aca="false">H209</f>
        <v>3.7</v>
      </c>
      <c r="AB209" s="1" t="n">
        <f aca="false">J209</f>
        <v>1</v>
      </c>
      <c r="AC209" s="1" t="n">
        <f aca="false">K209</f>
        <v>0</v>
      </c>
      <c r="AD209" s="1" t="n">
        <f aca="false">L209</f>
        <v>0</v>
      </c>
    </row>
    <row r="210" customFormat="false" ht="15" hidden="false" customHeight="false" outlineLevel="0" collapsed="false">
      <c r="A210" s="5" t="s">
        <v>86</v>
      </c>
      <c r="B210" s="5" t="s">
        <v>28</v>
      </c>
      <c r="C210" s="5" t="s">
        <v>41</v>
      </c>
      <c r="D210" s="5" t="n">
        <v>56413.83</v>
      </c>
      <c r="E210" s="5" t="n">
        <v>8303</v>
      </c>
      <c r="F210" s="5" t="n">
        <v>0.116</v>
      </c>
      <c r="G210" s="5" t="n">
        <v>93.6</v>
      </c>
      <c r="H210" s="5" t="n">
        <v>3.7</v>
      </c>
      <c r="I210" s="5" t="n">
        <v>675917.63</v>
      </c>
      <c r="J210" s="5" t="n">
        <v>1</v>
      </c>
      <c r="K210" s="5" t="n">
        <v>0</v>
      </c>
      <c r="L210" s="5" t="n">
        <v>0</v>
      </c>
      <c r="P210" s="1" t="n">
        <f aca="false">E210</f>
        <v>8303</v>
      </c>
      <c r="Q210" s="1" t="n">
        <f aca="false">D210</f>
        <v>56413.83</v>
      </c>
      <c r="R210" s="1" t="n">
        <f aca="false">G210</f>
        <v>93.6</v>
      </c>
      <c r="S210" s="1" t="n">
        <f aca="false">J210</f>
        <v>1</v>
      </c>
      <c r="T210" s="1" t="n">
        <f aca="false">K210</f>
        <v>0</v>
      </c>
      <c r="U210" s="1" t="n">
        <f aca="false">L210</f>
        <v>0</v>
      </c>
      <c r="W210" s="1" t="n">
        <f aca="false">E210</f>
        <v>8303</v>
      </c>
      <c r="X210" s="1" t="n">
        <f aca="false">D210</f>
        <v>56413.83</v>
      </c>
      <c r="Y210" s="1" t="n">
        <f aca="false">G210</f>
        <v>93.6</v>
      </c>
      <c r="Z210" s="1" t="n">
        <f aca="false">F210</f>
        <v>0.116</v>
      </c>
      <c r="AA210" s="1" t="n">
        <f aca="false">H210</f>
        <v>3.7</v>
      </c>
      <c r="AB210" s="1" t="n">
        <f aca="false">J210</f>
        <v>1</v>
      </c>
      <c r="AC210" s="1" t="n">
        <f aca="false">K210</f>
        <v>0</v>
      </c>
      <c r="AD210" s="1" t="n">
        <f aca="false">L210</f>
        <v>0</v>
      </c>
    </row>
    <row r="211" customFormat="false" ht="15" hidden="false" customHeight="false" outlineLevel="0" collapsed="false">
      <c r="A211" s="5" t="s">
        <v>87</v>
      </c>
      <c r="B211" s="5" t="s">
        <v>28</v>
      </c>
      <c r="C211" s="5" t="s">
        <v>31</v>
      </c>
      <c r="D211" s="5" t="n">
        <v>63457.19</v>
      </c>
      <c r="E211" s="5" t="n">
        <v>10125</v>
      </c>
      <c r="F211" s="5" t="n">
        <v>0.097</v>
      </c>
      <c r="G211" s="5" t="n">
        <v>87</v>
      </c>
      <c r="H211" s="5" t="n">
        <v>3.7</v>
      </c>
      <c r="I211" s="5" t="n">
        <v>810446.53</v>
      </c>
      <c r="J211" s="5" t="n">
        <v>0</v>
      </c>
      <c r="K211" s="5" t="n">
        <v>0</v>
      </c>
      <c r="L211" s="5" t="n">
        <v>0</v>
      </c>
      <c r="P211" s="1" t="n">
        <f aca="false">E211</f>
        <v>10125</v>
      </c>
      <c r="Q211" s="1" t="n">
        <f aca="false">D211</f>
        <v>63457.19</v>
      </c>
      <c r="R211" s="1" t="n">
        <f aca="false">G211</f>
        <v>87</v>
      </c>
      <c r="S211" s="1" t="n">
        <f aca="false">J211</f>
        <v>0</v>
      </c>
      <c r="T211" s="1" t="n">
        <f aca="false">K211</f>
        <v>0</v>
      </c>
      <c r="U211" s="1" t="n">
        <f aca="false">L211</f>
        <v>0</v>
      </c>
      <c r="W211" s="1" t="n">
        <f aca="false">E211</f>
        <v>10125</v>
      </c>
      <c r="X211" s="1" t="n">
        <f aca="false">D211</f>
        <v>63457.19</v>
      </c>
      <c r="Y211" s="1" t="n">
        <f aca="false">G211</f>
        <v>87</v>
      </c>
      <c r="Z211" s="1" t="n">
        <f aca="false">F211</f>
        <v>0.097</v>
      </c>
      <c r="AA211" s="1" t="n">
        <f aca="false">H211</f>
        <v>3.7</v>
      </c>
      <c r="AB211" s="1" t="n">
        <f aca="false">J211</f>
        <v>0</v>
      </c>
      <c r="AC211" s="1" t="n">
        <f aca="false">K211</f>
        <v>0</v>
      </c>
      <c r="AD211" s="1" t="n">
        <f aca="false">L211</f>
        <v>0</v>
      </c>
    </row>
    <row r="212" customFormat="false" ht="15" hidden="false" customHeight="false" outlineLevel="0" collapsed="false">
      <c r="A212" s="5" t="s">
        <v>87</v>
      </c>
      <c r="B212" s="5" t="s">
        <v>28</v>
      </c>
      <c r="C212" s="5" t="s">
        <v>31</v>
      </c>
      <c r="D212" s="5" t="n">
        <v>62949.7</v>
      </c>
      <c r="E212" s="5" t="n">
        <v>9458</v>
      </c>
      <c r="F212" s="5" t="n">
        <v>0.171</v>
      </c>
      <c r="G212" s="5" t="n">
        <v>84.9</v>
      </c>
      <c r="H212" s="5" t="n">
        <v>3.3</v>
      </c>
      <c r="I212" s="5" t="n">
        <v>691288.19</v>
      </c>
      <c r="J212" s="5" t="n">
        <v>0</v>
      </c>
      <c r="K212" s="5" t="n">
        <v>0</v>
      </c>
      <c r="L212" s="5" t="n">
        <v>0</v>
      </c>
      <c r="P212" s="1" t="n">
        <f aca="false">E212</f>
        <v>9458</v>
      </c>
      <c r="Q212" s="1" t="n">
        <f aca="false">D212</f>
        <v>62949.7</v>
      </c>
      <c r="R212" s="1" t="n">
        <f aca="false">G212</f>
        <v>84.9</v>
      </c>
      <c r="S212" s="1" t="n">
        <f aca="false">J212</f>
        <v>0</v>
      </c>
      <c r="T212" s="1" t="n">
        <f aca="false">K212</f>
        <v>0</v>
      </c>
      <c r="U212" s="1" t="n">
        <f aca="false">L212</f>
        <v>0</v>
      </c>
      <c r="W212" s="1" t="n">
        <f aca="false">E212</f>
        <v>9458</v>
      </c>
      <c r="X212" s="1" t="n">
        <f aca="false">D212</f>
        <v>62949.7</v>
      </c>
      <c r="Y212" s="1" t="n">
        <f aca="false">G212</f>
        <v>84.9</v>
      </c>
      <c r="Z212" s="1" t="n">
        <f aca="false">F212</f>
        <v>0.171</v>
      </c>
      <c r="AA212" s="1" t="n">
        <f aca="false">H212</f>
        <v>3.3</v>
      </c>
      <c r="AB212" s="1" t="n">
        <f aca="false">J212</f>
        <v>0</v>
      </c>
      <c r="AC212" s="1" t="n">
        <f aca="false">K212</f>
        <v>0</v>
      </c>
      <c r="AD212" s="1" t="n">
        <f aca="false">L212</f>
        <v>0</v>
      </c>
    </row>
    <row r="213" customFormat="false" ht="15" hidden="false" customHeight="false" outlineLevel="0" collapsed="false">
      <c r="A213" s="5" t="s">
        <v>87</v>
      </c>
      <c r="B213" s="5" t="s">
        <v>28</v>
      </c>
      <c r="C213" s="5" t="s">
        <v>31</v>
      </c>
      <c r="D213" s="5" t="n">
        <v>107970.19</v>
      </c>
      <c r="E213" s="5" t="n">
        <v>12870</v>
      </c>
      <c r="F213" s="5" t="n">
        <v>0.029</v>
      </c>
      <c r="G213" s="5" t="n">
        <v>91.7</v>
      </c>
      <c r="H213" s="5" t="n">
        <v>3.7</v>
      </c>
      <c r="I213" s="5" t="n">
        <v>946833.54</v>
      </c>
      <c r="J213" s="5" t="n">
        <v>0</v>
      </c>
      <c r="K213" s="5" t="n">
        <v>0</v>
      </c>
      <c r="L213" s="5" t="n">
        <v>0</v>
      </c>
      <c r="P213" s="1" t="n">
        <f aca="false">E213</f>
        <v>12870</v>
      </c>
      <c r="Q213" s="1" t="n">
        <f aca="false">D213</f>
        <v>107970.19</v>
      </c>
      <c r="R213" s="1" t="n">
        <f aca="false">G213</f>
        <v>91.7</v>
      </c>
      <c r="S213" s="1" t="n">
        <f aca="false">J213</f>
        <v>0</v>
      </c>
      <c r="T213" s="1" t="n">
        <f aca="false">K213</f>
        <v>0</v>
      </c>
      <c r="U213" s="1" t="n">
        <f aca="false">L213</f>
        <v>0</v>
      </c>
      <c r="W213" s="1" t="n">
        <f aca="false">E213</f>
        <v>12870</v>
      </c>
      <c r="X213" s="1" t="n">
        <f aca="false">D213</f>
        <v>107970.19</v>
      </c>
      <c r="Y213" s="1" t="n">
        <f aca="false">G213</f>
        <v>91.7</v>
      </c>
      <c r="Z213" s="1" t="n">
        <f aca="false">F213</f>
        <v>0.029</v>
      </c>
      <c r="AA213" s="1" t="n">
        <f aca="false">H213</f>
        <v>3.7</v>
      </c>
      <c r="AB213" s="1" t="n">
        <f aca="false">J213</f>
        <v>0</v>
      </c>
      <c r="AC213" s="1" t="n">
        <f aca="false">K213</f>
        <v>0</v>
      </c>
      <c r="AD213" s="1" t="n">
        <f aca="false">L213</f>
        <v>0</v>
      </c>
    </row>
    <row r="214" customFormat="false" ht="15" hidden="false" customHeight="false" outlineLevel="0" collapsed="false">
      <c r="A214" s="5" t="s">
        <v>87</v>
      </c>
      <c r="B214" s="5" t="s">
        <v>28</v>
      </c>
      <c r="C214" s="5" t="s">
        <v>31</v>
      </c>
      <c r="D214" s="5" t="n">
        <v>49405.75</v>
      </c>
      <c r="E214" s="5" t="n">
        <v>9752</v>
      </c>
      <c r="F214" s="5" t="n">
        <v>0.093</v>
      </c>
      <c r="G214" s="5" t="n">
        <v>87</v>
      </c>
      <c r="H214" s="5" t="n">
        <v>4.1</v>
      </c>
      <c r="I214" s="5" t="n">
        <v>761963.23</v>
      </c>
      <c r="J214" s="5" t="n">
        <v>0</v>
      </c>
      <c r="K214" s="5" t="n">
        <v>0</v>
      </c>
      <c r="L214" s="5" t="n">
        <v>0</v>
      </c>
      <c r="P214" s="1" t="n">
        <f aca="false">E214</f>
        <v>9752</v>
      </c>
      <c r="Q214" s="1" t="n">
        <f aca="false">D214</f>
        <v>49405.75</v>
      </c>
      <c r="R214" s="1" t="n">
        <f aca="false">G214</f>
        <v>87</v>
      </c>
      <c r="S214" s="1" t="n">
        <f aca="false">J214</f>
        <v>0</v>
      </c>
      <c r="T214" s="1" t="n">
        <f aca="false">K214</f>
        <v>0</v>
      </c>
      <c r="U214" s="1" t="n">
        <f aca="false">L214</f>
        <v>0</v>
      </c>
      <c r="W214" s="1" t="n">
        <f aca="false">E214</f>
        <v>9752</v>
      </c>
      <c r="X214" s="1" t="n">
        <f aca="false">D214</f>
        <v>49405.75</v>
      </c>
      <c r="Y214" s="1" t="n">
        <f aca="false">G214</f>
        <v>87</v>
      </c>
      <c r="Z214" s="1" t="n">
        <f aca="false">F214</f>
        <v>0.093</v>
      </c>
      <c r="AA214" s="1" t="n">
        <f aca="false">H214</f>
        <v>4.1</v>
      </c>
      <c r="AB214" s="1" t="n">
        <f aca="false">J214</f>
        <v>0</v>
      </c>
      <c r="AC214" s="1" t="n">
        <f aca="false">K214</f>
        <v>0</v>
      </c>
      <c r="AD214" s="1" t="n">
        <f aca="false">L214</f>
        <v>0</v>
      </c>
    </row>
    <row r="215" customFormat="false" ht="15" hidden="false" customHeight="false" outlineLevel="0" collapsed="false">
      <c r="A215" s="5" t="s">
        <v>88</v>
      </c>
      <c r="B215" s="5" t="s">
        <v>40</v>
      </c>
      <c r="C215" s="5" t="s">
        <v>29</v>
      </c>
      <c r="D215" s="5" t="n">
        <v>50887.46</v>
      </c>
      <c r="E215" s="5" t="n">
        <v>9505</v>
      </c>
      <c r="F215" s="5" t="n">
        <v>0.091</v>
      </c>
      <c r="G215" s="5" t="n">
        <v>89.7</v>
      </c>
      <c r="H215" s="5" t="n">
        <v>4.3</v>
      </c>
      <c r="I215" s="5" t="n">
        <v>812152.6</v>
      </c>
      <c r="J215" s="5" t="n">
        <v>0</v>
      </c>
      <c r="K215" s="5" t="n">
        <v>1</v>
      </c>
      <c r="L215" s="5" t="n">
        <v>0</v>
      </c>
      <c r="P215" s="1" t="n">
        <f aca="false">E215</f>
        <v>9505</v>
      </c>
      <c r="Q215" s="1" t="n">
        <f aca="false">D215</f>
        <v>50887.46</v>
      </c>
      <c r="R215" s="1" t="n">
        <f aca="false">G215</f>
        <v>89.7</v>
      </c>
      <c r="S215" s="1" t="n">
        <f aca="false">J215</f>
        <v>0</v>
      </c>
      <c r="T215" s="1" t="n">
        <f aca="false">K215</f>
        <v>1</v>
      </c>
      <c r="U215" s="1" t="n">
        <f aca="false">L215</f>
        <v>0</v>
      </c>
      <c r="W215" s="1" t="n">
        <f aca="false">E215</f>
        <v>9505</v>
      </c>
      <c r="X215" s="1" t="n">
        <f aca="false">D215</f>
        <v>50887.46</v>
      </c>
      <c r="Y215" s="1" t="n">
        <f aca="false">G215</f>
        <v>89.7</v>
      </c>
      <c r="Z215" s="1" t="n">
        <f aca="false">F215</f>
        <v>0.091</v>
      </c>
      <c r="AA215" s="1" t="n">
        <f aca="false">H215</f>
        <v>4.3</v>
      </c>
      <c r="AB215" s="1" t="n">
        <f aca="false">J215</f>
        <v>0</v>
      </c>
      <c r="AC215" s="1" t="n">
        <f aca="false">K215</f>
        <v>1</v>
      </c>
      <c r="AD215" s="1" t="n">
        <f aca="false">L215</f>
        <v>0</v>
      </c>
    </row>
    <row r="216" customFormat="false" ht="15" hidden="false" customHeight="false" outlineLevel="0" collapsed="false">
      <c r="A216" s="5" t="s">
        <v>88</v>
      </c>
      <c r="B216" s="5" t="s">
        <v>40</v>
      </c>
      <c r="C216" s="5" t="s">
        <v>29</v>
      </c>
      <c r="D216" s="5" t="n">
        <v>41819.45</v>
      </c>
      <c r="E216" s="5" t="n">
        <v>9412</v>
      </c>
      <c r="F216" s="5" t="n">
        <v>0.15</v>
      </c>
      <c r="G216" s="5" t="n">
        <v>91</v>
      </c>
      <c r="H216" s="5" t="n">
        <v>4.2</v>
      </c>
      <c r="I216" s="5" t="n">
        <v>804975.5</v>
      </c>
      <c r="J216" s="5" t="n">
        <v>0</v>
      </c>
      <c r="K216" s="5" t="n">
        <v>1</v>
      </c>
      <c r="L216" s="5" t="n">
        <v>0</v>
      </c>
      <c r="P216" s="1" t="n">
        <f aca="false">E216</f>
        <v>9412</v>
      </c>
      <c r="Q216" s="1" t="n">
        <f aca="false">D216</f>
        <v>41819.45</v>
      </c>
      <c r="R216" s="1" t="n">
        <f aca="false">G216</f>
        <v>91</v>
      </c>
      <c r="S216" s="1" t="n">
        <f aca="false">J216</f>
        <v>0</v>
      </c>
      <c r="T216" s="1" t="n">
        <f aca="false">K216</f>
        <v>1</v>
      </c>
      <c r="U216" s="1" t="n">
        <f aca="false">L216</f>
        <v>0</v>
      </c>
      <c r="W216" s="1" t="n">
        <f aca="false">E216</f>
        <v>9412</v>
      </c>
      <c r="X216" s="1" t="n">
        <f aca="false">D216</f>
        <v>41819.45</v>
      </c>
      <c r="Y216" s="1" t="n">
        <f aca="false">G216</f>
        <v>91</v>
      </c>
      <c r="Z216" s="1" t="n">
        <f aca="false">F216</f>
        <v>0.15</v>
      </c>
      <c r="AA216" s="1" t="n">
        <f aca="false">H216</f>
        <v>4.2</v>
      </c>
      <c r="AB216" s="1" t="n">
        <f aca="false">J216</f>
        <v>0</v>
      </c>
      <c r="AC216" s="1" t="n">
        <f aca="false">K216</f>
        <v>1</v>
      </c>
      <c r="AD216" s="1" t="n">
        <f aca="false">L216</f>
        <v>0</v>
      </c>
    </row>
    <row r="217" customFormat="false" ht="15" hidden="false" customHeight="false" outlineLevel="0" collapsed="false">
      <c r="A217" s="5" t="s">
        <v>88</v>
      </c>
      <c r="B217" s="5" t="s">
        <v>40</v>
      </c>
      <c r="C217" s="5" t="s">
        <v>29</v>
      </c>
      <c r="D217" s="5" t="n">
        <v>35296.54</v>
      </c>
      <c r="E217" s="5" t="n">
        <v>9644</v>
      </c>
      <c r="F217" s="5" t="n">
        <v>0</v>
      </c>
      <c r="G217" s="5" t="n">
        <v>88</v>
      </c>
      <c r="H217" s="5" t="n">
        <v>4.7</v>
      </c>
      <c r="I217" s="5" t="n">
        <v>752321.72</v>
      </c>
      <c r="J217" s="5" t="n">
        <v>0</v>
      </c>
      <c r="K217" s="5" t="n">
        <v>1</v>
      </c>
      <c r="L217" s="5" t="n">
        <v>0</v>
      </c>
      <c r="P217" s="1" t="n">
        <f aca="false">E217</f>
        <v>9644</v>
      </c>
      <c r="Q217" s="1" t="n">
        <f aca="false">D217</f>
        <v>35296.54</v>
      </c>
      <c r="R217" s="1" t="n">
        <f aca="false">G217</f>
        <v>88</v>
      </c>
      <c r="S217" s="1" t="n">
        <f aca="false">J217</f>
        <v>0</v>
      </c>
      <c r="T217" s="1" t="n">
        <f aca="false">K217</f>
        <v>1</v>
      </c>
      <c r="U217" s="1" t="n">
        <f aca="false">L217</f>
        <v>0</v>
      </c>
      <c r="W217" s="1" t="n">
        <f aca="false">E217</f>
        <v>9644</v>
      </c>
      <c r="X217" s="1" t="n">
        <f aca="false">D217</f>
        <v>35296.54</v>
      </c>
      <c r="Y217" s="1" t="n">
        <f aca="false">G217</f>
        <v>88</v>
      </c>
      <c r="Z217" s="1" t="n">
        <f aca="false">F217</f>
        <v>0</v>
      </c>
      <c r="AA217" s="1" t="n">
        <f aca="false">H217</f>
        <v>4.7</v>
      </c>
      <c r="AB217" s="1" t="n">
        <f aca="false">J217</f>
        <v>0</v>
      </c>
      <c r="AC217" s="1" t="n">
        <f aca="false">K217</f>
        <v>1</v>
      </c>
      <c r="AD217" s="1" t="n">
        <f aca="false">L217</f>
        <v>0</v>
      </c>
    </row>
    <row r="218" customFormat="false" ht="15" hidden="false" customHeight="false" outlineLevel="0" collapsed="false">
      <c r="A218" s="5" t="s">
        <v>88</v>
      </c>
      <c r="B218" s="5" t="s">
        <v>40</v>
      </c>
      <c r="C218" s="5" t="s">
        <v>29</v>
      </c>
      <c r="D218" s="5" t="n">
        <v>47391.09</v>
      </c>
      <c r="E218" s="5" t="n">
        <v>11224</v>
      </c>
      <c r="F218" s="5" t="n">
        <v>0.147</v>
      </c>
      <c r="G218" s="5" t="n">
        <v>88.4</v>
      </c>
      <c r="H218" s="5" t="n">
        <v>4.9</v>
      </c>
      <c r="I218" s="5" t="n">
        <v>836908.24</v>
      </c>
      <c r="J218" s="5" t="n">
        <v>0</v>
      </c>
      <c r="K218" s="5" t="n">
        <v>1</v>
      </c>
      <c r="L218" s="5" t="n">
        <v>0</v>
      </c>
      <c r="P218" s="1" t="n">
        <f aca="false">E218</f>
        <v>11224</v>
      </c>
      <c r="Q218" s="1" t="n">
        <f aca="false">D218</f>
        <v>47391.09</v>
      </c>
      <c r="R218" s="1" t="n">
        <f aca="false">G218</f>
        <v>88.4</v>
      </c>
      <c r="S218" s="1" t="n">
        <f aca="false">J218</f>
        <v>0</v>
      </c>
      <c r="T218" s="1" t="n">
        <f aca="false">K218</f>
        <v>1</v>
      </c>
      <c r="U218" s="1" t="n">
        <f aca="false">L218</f>
        <v>0</v>
      </c>
      <c r="W218" s="1" t="n">
        <f aca="false">E218</f>
        <v>11224</v>
      </c>
      <c r="X218" s="1" t="n">
        <f aca="false">D218</f>
        <v>47391.09</v>
      </c>
      <c r="Y218" s="1" t="n">
        <f aca="false">G218</f>
        <v>88.4</v>
      </c>
      <c r="Z218" s="1" t="n">
        <f aca="false">F218</f>
        <v>0.147</v>
      </c>
      <c r="AA218" s="1" t="n">
        <f aca="false">H218</f>
        <v>4.9</v>
      </c>
      <c r="AB218" s="1" t="n">
        <f aca="false">J218</f>
        <v>0</v>
      </c>
      <c r="AC218" s="1" t="n">
        <f aca="false">K218</f>
        <v>1</v>
      </c>
      <c r="AD218" s="1" t="n">
        <f aca="false">L218</f>
        <v>0</v>
      </c>
    </row>
    <row r="219" customFormat="false" ht="15" hidden="false" customHeight="false" outlineLevel="0" collapsed="false">
      <c r="A219" s="5" t="s">
        <v>89</v>
      </c>
      <c r="B219" s="5" t="s">
        <v>33</v>
      </c>
      <c r="C219" s="5" t="s">
        <v>34</v>
      </c>
      <c r="D219" s="5" t="n">
        <v>69180.54</v>
      </c>
      <c r="E219" s="5" t="n">
        <v>5394</v>
      </c>
      <c r="F219" s="5" t="n">
        <v>0.126</v>
      </c>
      <c r="G219" s="5" t="n">
        <v>82.9</v>
      </c>
      <c r="H219" s="5" t="n">
        <v>3.3</v>
      </c>
      <c r="I219" s="5" t="n">
        <v>674289.1</v>
      </c>
      <c r="J219" s="5" t="n">
        <v>0</v>
      </c>
      <c r="K219" s="5" t="n">
        <v>0</v>
      </c>
      <c r="L219" s="5" t="n">
        <v>1</v>
      </c>
      <c r="P219" s="1" t="n">
        <f aca="false">E219</f>
        <v>5394</v>
      </c>
      <c r="Q219" s="1" t="n">
        <f aca="false">D219</f>
        <v>69180.54</v>
      </c>
      <c r="R219" s="1" t="n">
        <f aca="false">G219</f>
        <v>82.9</v>
      </c>
      <c r="S219" s="1" t="n">
        <f aca="false">J219</f>
        <v>0</v>
      </c>
      <c r="T219" s="1" t="n">
        <f aca="false">K219</f>
        <v>0</v>
      </c>
      <c r="U219" s="1" t="n">
        <f aca="false">L219</f>
        <v>1</v>
      </c>
      <c r="W219" s="1" t="n">
        <f aca="false">E219</f>
        <v>5394</v>
      </c>
      <c r="X219" s="1" t="n">
        <f aca="false">D219</f>
        <v>69180.54</v>
      </c>
      <c r="Y219" s="1" t="n">
        <f aca="false">G219</f>
        <v>82.9</v>
      </c>
      <c r="Z219" s="1" t="n">
        <f aca="false">F219</f>
        <v>0.126</v>
      </c>
      <c r="AA219" s="1" t="n">
        <f aca="false">H219</f>
        <v>3.3</v>
      </c>
      <c r="AB219" s="1" t="n">
        <f aca="false">J219</f>
        <v>0</v>
      </c>
      <c r="AC219" s="1" t="n">
        <f aca="false">K219</f>
        <v>0</v>
      </c>
      <c r="AD219" s="1" t="n">
        <f aca="false">L219</f>
        <v>1</v>
      </c>
    </row>
    <row r="220" customFormat="false" ht="15" hidden="false" customHeight="false" outlineLevel="0" collapsed="false">
      <c r="A220" s="5" t="s">
        <v>89</v>
      </c>
      <c r="B220" s="5" t="s">
        <v>33</v>
      </c>
      <c r="C220" s="5" t="s">
        <v>34</v>
      </c>
      <c r="D220" s="5" t="n">
        <v>33987.33</v>
      </c>
      <c r="E220" s="5" t="n">
        <v>5014</v>
      </c>
      <c r="F220" s="5" t="n">
        <v>0.246</v>
      </c>
      <c r="G220" s="5" t="n">
        <v>94.3</v>
      </c>
      <c r="H220" s="5" t="n">
        <v>3.9</v>
      </c>
      <c r="I220" s="5" t="n">
        <v>622892.42</v>
      </c>
      <c r="J220" s="5" t="n">
        <v>0</v>
      </c>
      <c r="K220" s="5" t="n">
        <v>0</v>
      </c>
      <c r="L220" s="5" t="n">
        <v>1</v>
      </c>
      <c r="P220" s="1" t="n">
        <f aca="false">E220</f>
        <v>5014</v>
      </c>
      <c r="Q220" s="1" t="n">
        <f aca="false">D220</f>
        <v>33987.33</v>
      </c>
      <c r="R220" s="1" t="n">
        <f aca="false">G220</f>
        <v>94.3</v>
      </c>
      <c r="S220" s="1" t="n">
        <f aca="false">J220</f>
        <v>0</v>
      </c>
      <c r="T220" s="1" t="n">
        <f aca="false">K220</f>
        <v>0</v>
      </c>
      <c r="U220" s="1" t="n">
        <f aca="false">L220</f>
        <v>1</v>
      </c>
      <c r="W220" s="1" t="n">
        <f aca="false">E220</f>
        <v>5014</v>
      </c>
      <c r="X220" s="1" t="n">
        <f aca="false">D220</f>
        <v>33987.33</v>
      </c>
      <c r="Y220" s="1" t="n">
        <f aca="false">G220</f>
        <v>94.3</v>
      </c>
      <c r="Z220" s="1" t="n">
        <f aca="false">F220</f>
        <v>0.246</v>
      </c>
      <c r="AA220" s="1" t="n">
        <f aca="false">H220</f>
        <v>3.9</v>
      </c>
      <c r="AB220" s="1" t="n">
        <f aca="false">J220</f>
        <v>0</v>
      </c>
      <c r="AC220" s="1" t="n">
        <f aca="false">K220</f>
        <v>0</v>
      </c>
      <c r="AD220" s="1" t="n">
        <f aca="false">L220</f>
        <v>1</v>
      </c>
    </row>
    <row r="221" customFormat="false" ht="15" hidden="false" customHeight="false" outlineLevel="0" collapsed="false">
      <c r="A221" s="5" t="s">
        <v>89</v>
      </c>
      <c r="B221" s="5" t="s">
        <v>33</v>
      </c>
      <c r="C221" s="5" t="s">
        <v>34</v>
      </c>
      <c r="D221" s="5" t="n">
        <v>58785.33</v>
      </c>
      <c r="E221" s="5" t="n">
        <v>4467</v>
      </c>
      <c r="F221" s="5" t="n">
        <v>0.229</v>
      </c>
      <c r="G221" s="5" t="n">
        <v>90.7</v>
      </c>
      <c r="H221" s="5" t="n">
        <v>3.7</v>
      </c>
      <c r="I221" s="5" t="n">
        <v>673348.56</v>
      </c>
      <c r="J221" s="5" t="n">
        <v>0</v>
      </c>
      <c r="K221" s="5" t="n">
        <v>0</v>
      </c>
      <c r="L221" s="5" t="n">
        <v>1</v>
      </c>
      <c r="P221" s="1" t="n">
        <f aca="false">E221</f>
        <v>4467</v>
      </c>
      <c r="Q221" s="1" t="n">
        <f aca="false">D221</f>
        <v>58785.33</v>
      </c>
      <c r="R221" s="1" t="n">
        <f aca="false">G221</f>
        <v>90.7</v>
      </c>
      <c r="S221" s="1" t="n">
        <f aca="false">J221</f>
        <v>0</v>
      </c>
      <c r="T221" s="1" t="n">
        <f aca="false">K221</f>
        <v>0</v>
      </c>
      <c r="U221" s="1" t="n">
        <f aca="false">L221</f>
        <v>1</v>
      </c>
      <c r="W221" s="1" t="n">
        <f aca="false">E221</f>
        <v>4467</v>
      </c>
      <c r="X221" s="1" t="n">
        <f aca="false">D221</f>
        <v>58785.33</v>
      </c>
      <c r="Y221" s="1" t="n">
        <f aca="false">G221</f>
        <v>90.7</v>
      </c>
      <c r="Z221" s="1" t="n">
        <f aca="false">F221</f>
        <v>0.229</v>
      </c>
      <c r="AA221" s="1" t="n">
        <f aca="false">H221</f>
        <v>3.7</v>
      </c>
      <c r="AB221" s="1" t="n">
        <f aca="false">J221</f>
        <v>0</v>
      </c>
      <c r="AC221" s="1" t="n">
        <f aca="false">K221</f>
        <v>0</v>
      </c>
      <c r="AD221" s="1" t="n">
        <f aca="false">L221</f>
        <v>1</v>
      </c>
    </row>
    <row r="222" customFormat="false" ht="15" hidden="false" customHeight="false" outlineLevel="0" collapsed="false">
      <c r="A222" s="5" t="s">
        <v>89</v>
      </c>
      <c r="B222" s="5" t="s">
        <v>33</v>
      </c>
      <c r="C222" s="5" t="s">
        <v>34</v>
      </c>
      <c r="D222" s="5" t="n">
        <v>16451.85</v>
      </c>
      <c r="E222" s="5" t="n">
        <v>4678</v>
      </c>
      <c r="F222" s="5" t="n">
        <v>0.133</v>
      </c>
      <c r="G222" s="5" t="n">
        <v>95.9</v>
      </c>
      <c r="H222" s="5" t="n">
        <v>3.9</v>
      </c>
      <c r="I222" s="5" t="n">
        <v>606278.3</v>
      </c>
      <c r="J222" s="5" t="n">
        <v>0</v>
      </c>
      <c r="K222" s="5" t="n">
        <v>0</v>
      </c>
      <c r="L222" s="5" t="n">
        <v>1</v>
      </c>
      <c r="P222" s="1" t="n">
        <f aca="false">E222</f>
        <v>4678</v>
      </c>
      <c r="Q222" s="1" t="n">
        <f aca="false">D222</f>
        <v>16451.85</v>
      </c>
      <c r="R222" s="1" t="n">
        <f aca="false">G222</f>
        <v>95.9</v>
      </c>
      <c r="S222" s="1" t="n">
        <f aca="false">J222</f>
        <v>0</v>
      </c>
      <c r="T222" s="1" t="n">
        <f aca="false">K222</f>
        <v>0</v>
      </c>
      <c r="U222" s="1" t="n">
        <f aca="false">L222</f>
        <v>1</v>
      </c>
      <c r="W222" s="1" t="n">
        <f aca="false">E222</f>
        <v>4678</v>
      </c>
      <c r="X222" s="1" t="n">
        <f aca="false">D222</f>
        <v>16451.85</v>
      </c>
      <c r="Y222" s="1" t="n">
        <f aca="false">G222</f>
        <v>95.9</v>
      </c>
      <c r="Z222" s="1" t="n">
        <f aca="false">F222</f>
        <v>0.133</v>
      </c>
      <c r="AA222" s="1" t="n">
        <f aca="false">H222</f>
        <v>3.9</v>
      </c>
      <c r="AB222" s="1" t="n">
        <f aca="false">J222</f>
        <v>0</v>
      </c>
      <c r="AC222" s="1" t="n">
        <f aca="false">K222</f>
        <v>0</v>
      </c>
      <c r="AD222" s="1" t="n">
        <f aca="false">L222</f>
        <v>1</v>
      </c>
    </row>
    <row r="223" customFormat="false" ht="15" hidden="false" customHeight="false" outlineLevel="0" collapsed="false">
      <c r="A223" s="5" t="s">
        <v>90</v>
      </c>
      <c r="B223" s="5" t="s">
        <v>28</v>
      </c>
      <c r="C223" s="5" t="s">
        <v>31</v>
      </c>
      <c r="D223" s="5" t="n">
        <v>53367.73</v>
      </c>
      <c r="E223" s="5" t="n">
        <v>7291</v>
      </c>
      <c r="F223" s="5" t="n">
        <v>0.146</v>
      </c>
      <c r="G223" s="5" t="n">
        <v>90.6</v>
      </c>
      <c r="H223" s="5" t="n">
        <v>3.8</v>
      </c>
      <c r="I223" s="5" t="n">
        <v>712219.81</v>
      </c>
      <c r="J223" s="5" t="n">
        <v>0</v>
      </c>
      <c r="K223" s="5" t="n">
        <v>0</v>
      </c>
      <c r="L223" s="5" t="n">
        <v>0</v>
      </c>
      <c r="P223" s="1" t="n">
        <f aca="false">E223</f>
        <v>7291</v>
      </c>
      <c r="Q223" s="1" t="n">
        <f aca="false">D223</f>
        <v>53367.73</v>
      </c>
      <c r="R223" s="1" t="n">
        <f aca="false">G223</f>
        <v>90.6</v>
      </c>
      <c r="S223" s="1" t="n">
        <f aca="false">J223</f>
        <v>0</v>
      </c>
      <c r="T223" s="1" t="n">
        <f aca="false">K223</f>
        <v>0</v>
      </c>
      <c r="U223" s="1" t="n">
        <f aca="false">L223</f>
        <v>0</v>
      </c>
      <c r="W223" s="1" t="n">
        <f aca="false">E223</f>
        <v>7291</v>
      </c>
      <c r="X223" s="1" t="n">
        <f aca="false">D223</f>
        <v>53367.73</v>
      </c>
      <c r="Y223" s="1" t="n">
        <f aca="false">G223</f>
        <v>90.6</v>
      </c>
      <c r="Z223" s="1" t="n">
        <f aca="false">F223</f>
        <v>0.146</v>
      </c>
      <c r="AA223" s="1" t="n">
        <f aca="false">H223</f>
        <v>3.8</v>
      </c>
      <c r="AB223" s="1" t="n">
        <f aca="false">J223</f>
        <v>0</v>
      </c>
      <c r="AC223" s="1" t="n">
        <f aca="false">K223</f>
        <v>0</v>
      </c>
      <c r="AD223" s="1" t="n">
        <f aca="false">L223</f>
        <v>0</v>
      </c>
    </row>
    <row r="224" customFormat="false" ht="15" hidden="false" customHeight="false" outlineLevel="0" collapsed="false">
      <c r="A224" s="5" t="s">
        <v>90</v>
      </c>
      <c r="B224" s="5" t="s">
        <v>28</v>
      </c>
      <c r="C224" s="5" t="s">
        <v>31</v>
      </c>
      <c r="D224" s="5" t="n">
        <v>27194.64</v>
      </c>
      <c r="E224" s="5" t="n">
        <v>7404</v>
      </c>
      <c r="F224" s="5" t="n">
        <v>0.088</v>
      </c>
      <c r="G224" s="5" t="n">
        <v>90.2</v>
      </c>
      <c r="H224" s="5" t="n">
        <v>3.4</v>
      </c>
      <c r="I224" s="5" t="n">
        <v>672670.54</v>
      </c>
      <c r="J224" s="5" t="n">
        <v>0</v>
      </c>
      <c r="K224" s="5" t="n">
        <v>0</v>
      </c>
      <c r="L224" s="5" t="n">
        <v>0</v>
      </c>
      <c r="P224" s="1" t="n">
        <f aca="false">E224</f>
        <v>7404</v>
      </c>
      <c r="Q224" s="1" t="n">
        <f aca="false">D224</f>
        <v>27194.64</v>
      </c>
      <c r="R224" s="1" t="n">
        <f aca="false">G224</f>
        <v>90.2</v>
      </c>
      <c r="S224" s="1" t="n">
        <f aca="false">J224</f>
        <v>0</v>
      </c>
      <c r="T224" s="1" t="n">
        <f aca="false">K224</f>
        <v>0</v>
      </c>
      <c r="U224" s="1" t="n">
        <f aca="false">L224</f>
        <v>0</v>
      </c>
      <c r="W224" s="1" t="n">
        <f aca="false">E224</f>
        <v>7404</v>
      </c>
      <c r="X224" s="1" t="n">
        <f aca="false">D224</f>
        <v>27194.64</v>
      </c>
      <c r="Y224" s="1" t="n">
        <f aca="false">G224</f>
        <v>90.2</v>
      </c>
      <c r="Z224" s="1" t="n">
        <f aca="false">F224</f>
        <v>0.088</v>
      </c>
      <c r="AA224" s="1" t="n">
        <f aca="false">H224</f>
        <v>3.4</v>
      </c>
      <c r="AB224" s="1" t="n">
        <f aca="false">J224</f>
        <v>0</v>
      </c>
      <c r="AC224" s="1" t="n">
        <f aca="false">K224</f>
        <v>0</v>
      </c>
      <c r="AD224" s="1" t="n">
        <f aca="false">L224</f>
        <v>0</v>
      </c>
    </row>
    <row r="225" customFormat="false" ht="15" hidden="false" customHeight="false" outlineLevel="0" collapsed="false">
      <c r="A225" s="5" t="s">
        <v>90</v>
      </c>
      <c r="B225" s="5" t="s">
        <v>28</v>
      </c>
      <c r="C225" s="5" t="s">
        <v>31</v>
      </c>
      <c r="D225" s="5" t="n">
        <v>66962.74</v>
      </c>
      <c r="E225" s="5" t="n">
        <v>7880</v>
      </c>
      <c r="F225" s="5" t="n">
        <v>0.116</v>
      </c>
      <c r="G225" s="5" t="n">
        <v>90.4</v>
      </c>
      <c r="H225" s="5" t="n">
        <v>3.3</v>
      </c>
      <c r="I225" s="5" t="n">
        <v>732667.92</v>
      </c>
      <c r="J225" s="5" t="n">
        <v>0</v>
      </c>
      <c r="K225" s="5" t="n">
        <v>0</v>
      </c>
      <c r="L225" s="5" t="n">
        <v>0</v>
      </c>
      <c r="P225" s="1" t="n">
        <f aca="false">E225</f>
        <v>7880</v>
      </c>
      <c r="Q225" s="1" t="n">
        <f aca="false">D225</f>
        <v>66962.74</v>
      </c>
      <c r="R225" s="1" t="n">
        <f aca="false">G225</f>
        <v>90.4</v>
      </c>
      <c r="S225" s="1" t="n">
        <f aca="false">J225</f>
        <v>0</v>
      </c>
      <c r="T225" s="1" t="n">
        <f aca="false">K225</f>
        <v>0</v>
      </c>
      <c r="U225" s="1" t="n">
        <f aca="false">L225</f>
        <v>0</v>
      </c>
      <c r="W225" s="1" t="n">
        <f aca="false">E225</f>
        <v>7880</v>
      </c>
      <c r="X225" s="1" t="n">
        <f aca="false">D225</f>
        <v>66962.74</v>
      </c>
      <c r="Y225" s="1" t="n">
        <f aca="false">G225</f>
        <v>90.4</v>
      </c>
      <c r="Z225" s="1" t="n">
        <f aca="false">F225</f>
        <v>0.116</v>
      </c>
      <c r="AA225" s="1" t="n">
        <f aca="false">H225</f>
        <v>3.3</v>
      </c>
      <c r="AB225" s="1" t="n">
        <f aca="false">J225</f>
        <v>0</v>
      </c>
      <c r="AC225" s="1" t="n">
        <f aca="false">K225</f>
        <v>0</v>
      </c>
      <c r="AD225" s="1" t="n">
        <f aca="false">L225</f>
        <v>0</v>
      </c>
    </row>
    <row r="226" customFormat="false" ht="15" hidden="false" customHeight="false" outlineLevel="0" collapsed="false">
      <c r="A226" s="5" t="s">
        <v>90</v>
      </c>
      <c r="B226" s="5" t="s">
        <v>28</v>
      </c>
      <c r="C226" s="5" t="s">
        <v>31</v>
      </c>
      <c r="D226" s="5" t="n">
        <v>73540.99</v>
      </c>
      <c r="E226" s="5" t="n">
        <v>8773</v>
      </c>
      <c r="F226" s="5" t="n">
        <v>0.035</v>
      </c>
      <c r="G226" s="5" t="n">
        <v>84.4</v>
      </c>
      <c r="H226" s="5" t="n">
        <v>3.6</v>
      </c>
      <c r="I226" s="5" t="n">
        <v>723531.4</v>
      </c>
      <c r="J226" s="5" t="n">
        <v>0</v>
      </c>
      <c r="K226" s="5" t="n">
        <v>0</v>
      </c>
      <c r="L226" s="5" t="n">
        <v>0</v>
      </c>
      <c r="P226" s="1" t="n">
        <f aca="false">E226</f>
        <v>8773</v>
      </c>
      <c r="Q226" s="1" t="n">
        <f aca="false">D226</f>
        <v>73540.99</v>
      </c>
      <c r="R226" s="1" t="n">
        <f aca="false">G226</f>
        <v>84.4</v>
      </c>
      <c r="S226" s="1" t="n">
        <f aca="false">J226</f>
        <v>0</v>
      </c>
      <c r="T226" s="1" t="n">
        <f aca="false">K226</f>
        <v>0</v>
      </c>
      <c r="U226" s="1" t="n">
        <f aca="false">L226</f>
        <v>0</v>
      </c>
      <c r="W226" s="1" t="n">
        <f aca="false">E226</f>
        <v>8773</v>
      </c>
      <c r="X226" s="1" t="n">
        <f aca="false">D226</f>
        <v>73540.99</v>
      </c>
      <c r="Y226" s="1" t="n">
        <f aca="false">G226</f>
        <v>84.4</v>
      </c>
      <c r="Z226" s="1" t="n">
        <f aca="false">F226</f>
        <v>0.035</v>
      </c>
      <c r="AA226" s="1" t="n">
        <f aca="false">H226</f>
        <v>3.6</v>
      </c>
      <c r="AB226" s="1" t="n">
        <f aca="false">J226</f>
        <v>0</v>
      </c>
      <c r="AC226" s="1" t="n">
        <f aca="false">K226</f>
        <v>0</v>
      </c>
      <c r="AD226" s="1" t="n">
        <f aca="false">L226</f>
        <v>0</v>
      </c>
    </row>
    <row r="227" customFormat="false" ht="15" hidden="false" customHeight="false" outlineLevel="0" collapsed="false">
      <c r="A227" s="5" t="s">
        <v>91</v>
      </c>
      <c r="B227" s="5" t="s">
        <v>28</v>
      </c>
      <c r="C227" s="5" t="s">
        <v>41</v>
      </c>
      <c r="D227" s="5" t="n">
        <v>68212.29</v>
      </c>
      <c r="E227" s="5" t="n">
        <v>4713</v>
      </c>
      <c r="F227" s="5" t="n">
        <v>0.198</v>
      </c>
      <c r="G227" s="5" t="n">
        <v>82.6</v>
      </c>
      <c r="H227" s="5" t="n">
        <v>3</v>
      </c>
      <c r="I227" s="5" t="n">
        <v>641564.6</v>
      </c>
      <c r="J227" s="5" t="n">
        <v>1</v>
      </c>
      <c r="K227" s="5" t="n">
        <v>0</v>
      </c>
      <c r="L227" s="5" t="n">
        <v>0</v>
      </c>
      <c r="P227" s="1" t="n">
        <f aca="false">E227</f>
        <v>4713</v>
      </c>
      <c r="Q227" s="1" t="n">
        <f aca="false">D227</f>
        <v>68212.29</v>
      </c>
      <c r="R227" s="1" t="n">
        <f aca="false">G227</f>
        <v>82.6</v>
      </c>
      <c r="S227" s="1" t="n">
        <f aca="false">J227</f>
        <v>1</v>
      </c>
      <c r="T227" s="1" t="n">
        <f aca="false">K227</f>
        <v>0</v>
      </c>
      <c r="U227" s="1" t="n">
        <f aca="false">L227</f>
        <v>0</v>
      </c>
      <c r="W227" s="1" t="n">
        <f aca="false">E227</f>
        <v>4713</v>
      </c>
      <c r="X227" s="1" t="n">
        <f aca="false">D227</f>
        <v>68212.29</v>
      </c>
      <c r="Y227" s="1" t="n">
        <f aca="false">G227</f>
        <v>82.6</v>
      </c>
      <c r="Z227" s="1" t="n">
        <f aca="false">F227</f>
        <v>0.198</v>
      </c>
      <c r="AA227" s="1" t="n">
        <f aca="false">H227</f>
        <v>3</v>
      </c>
      <c r="AB227" s="1" t="n">
        <f aca="false">J227</f>
        <v>1</v>
      </c>
      <c r="AC227" s="1" t="n">
        <f aca="false">K227</f>
        <v>0</v>
      </c>
      <c r="AD227" s="1" t="n">
        <f aca="false">L227</f>
        <v>0</v>
      </c>
    </row>
    <row r="228" customFormat="false" ht="15" hidden="false" customHeight="false" outlineLevel="0" collapsed="false">
      <c r="A228" s="5" t="s">
        <v>91</v>
      </c>
      <c r="B228" s="5" t="s">
        <v>28</v>
      </c>
      <c r="C228" s="5" t="s">
        <v>41</v>
      </c>
      <c r="D228" s="5" t="n">
        <v>57225.98</v>
      </c>
      <c r="E228" s="5" t="n">
        <v>2842</v>
      </c>
      <c r="F228" s="5" t="n">
        <v>0.112</v>
      </c>
      <c r="G228" s="5" t="n">
        <v>79.5</v>
      </c>
      <c r="H228" s="5" t="n">
        <v>3.4</v>
      </c>
      <c r="I228" s="5" t="n">
        <v>536545.49</v>
      </c>
      <c r="J228" s="5" t="n">
        <v>1</v>
      </c>
      <c r="K228" s="5" t="n">
        <v>0</v>
      </c>
      <c r="L228" s="5" t="n">
        <v>0</v>
      </c>
      <c r="P228" s="1" t="n">
        <f aca="false">E228</f>
        <v>2842</v>
      </c>
      <c r="Q228" s="1" t="n">
        <f aca="false">D228</f>
        <v>57225.98</v>
      </c>
      <c r="R228" s="1" t="n">
        <f aca="false">G228</f>
        <v>79.5</v>
      </c>
      <c r="S228" s="1" t="n">
        <f aca="false">J228</f>
        <v>1</v>
      </c>
      <c r="T228" s="1" t="n">
        <f aca="false">K228</f>
        <v>0</v>
      </c>
      <c r="U228" s="1" t="n">
        <f aca="false">L228</f>
        <v>0</v>
      </c>
      <c r="W228" s="1" t="n">
        <f aca="false">E228</f>
        <v>2842</v>
      </c>
      <c r="X228" s="1" t="n">
        <f aca="false">D228</f>
        <v>57225.98</v>
      </c>
      <c r="Y228" s="1" t="n">
        <f aca="false">G228</f>
        <v>79.5</v>
      </c>
      <c r="Z228" s="1" t="n">
        <f aca="false">F228</f>
        <v>0.112</v>
      </c>
      <c r="AA228" s="1" t="n">
        <f aca="false">H228</f>
        <v>3.4</v>
      </c>
      <c r="AB228" s="1" t="n">
        <f aca="false">J228</f>
        <v>1</v>
      </c>
      <c r="AC228" s="1" t="n">
        <f aca="false">K228</f>
        <v>0</v>
      </c>
      <c r="AD228" s="1" t="n">
        <f aca="false">L228</f>
        <v>0</v>
      </c>
    </row>
    <row r="229" customFormat="false" ht="15" hidden="false" customHeight="false" outlineLevel="0" collapsed="false">
      <c r="A229" s="5" t="s">
        <v>91</v>
      </c>
      <c r="B229" s="5" t="s">
        <v>28</v>
      </c>
      <c r="C229" s="5" t="s">
        <v>41</v>
      </c>
      <c r="D229" s="5" t="n">
        <v>42932.02</v>
      </c>
      <c r="E229" s="5" t="n">
        <v>3872</v>
      </c>
      <c r="F229" s="5" t="n">
        <v>0.171</v>
      </c>
      <c r="G229" s="5" t="n">
        <v>83.2</v>
      </c>
      <c r="H229" s="5" t="n">
        <v>3.3</v>
      </c>
      <c r="I229" s="5" t="n">
        <v>527681.56</v>
      </c>
      <c r="J229" s="5" t="n">
        <v>1</v>
      </c>
      <c r="K229" s="5" t="n">
        <v>0</v>
      </c>
      <c r="L229" s="5" t="n">
        <v>0</v>
      </c>
      <c r="P229" s="1" t="n">
        <f aca="false">E229</f>
        <v>3872</v>
      </c>
      <c r="Q229" s="1" t="n">
        <f aca="false">D229</f>
        <v>42932.02</v>
      </c>
      <c r="R229" s="1" t="n">
        <f aca="false">G229</f>
        <v>83.2</v>
      </c>
      <c r="S229" s="1" t="n">
        <f aca="false">J229</f>
        <v>1</v>
      </c>
      <c r="T229" s="1" t="n">
        <f aca="false">K229</f>
        <v>0</v>
      </c>
      <c r="U229" s="1" t="n">
        <f aca="false">L229</f>
        <v>0</v>
      </c>
      <c r="W229" s="1" t="n">
        <f aca="false">E229</f>
        <v>3872</v>
      </c>
      <c r="X229" s="1" t="n">
        <f aca="false">D229</f>
        <v>42932.02</v>
      </c>
      <c r="Y229" s="1" t="n">
        <f aca="false">G229</f>
        <v>83.2</v>
      </c>
      <c r="Z229" s="1" t="n">
        <f aca="false">F229</f>
        <v>0.171</v>
      </c>
      <c r="AA229" s="1" t="n">
        <f aca="false">H229</f>
        <v>3.3</v>
      </c>
      <c r="AB229" s="1" t="n">
        <f aca="false">J229</f>
        <v>1</v>
      </c>
      <c r="AC229" s="1" t="n">
        <f aca="false">K229</f>
        <v>0</v>
      </c>
      <c r="AD229" s="1" t="n">
        <f aca="false">L229</f>
        <v>0</v>
      </c>
    </row>
    <row r="230" customFormat="false" ht="15" hidden="false" customHeight="false" outlineLevel="0" collapsed="false">
      <c r="A230" s="5" t="s">
        <v>91</v>
      </c>
      <c r="B230" s="5" t="s">
        <v>28</v>
      </c>
      <c r="C230" s="5" t="s">
        <v>41</v>
      </c>
      <c r="D230" s="5" t="n">
        <v>39341.45</v>
      </c>
      <c r="E230" s="5" t="n">
        <v>1375</v>
      </c>
      <c r="F230" s="5" t="n">
        <v>0.093</v>
      </c>
      <c r="G230" s="5" t="n">
        <v>95</v>
      </c>
      <c r="H230" s="5" t="n">
        <v>3.92467948717949</v>
      </c>
      <c r="I230" s="5" t="n">
        <v>529598.94</v>
      </c>
      <c r="J230" s="5" t="n">
        <v>1</v>
      </c>
      <c r="K230" s="5" t="n">
        <v>0</v>
      </c>
      <c r="L230" s="5" t="n">
        <v>0</v>
      </c>
      <c r="P230" s="1" t="n">
        <f aca="false">E230</f>
        <v>1375</v>
      </c>
      <c r="Q230" s="1" t="n">
        <f aca="false">D230</f>
        <v>39341.45</v>
      </c>
      <c r="R230" s="1" t="n">
        <f aca="false">G230</f>
        <v>95</v>
      </c>
      <c r="S230" s="1" t="n">
        <f aca="false">J230</f>
        <v>1</v>
      </c>
      <c r="T230" s="1" t="n">
        <f aca="false">K230</f>
        <v>0</v>
      </c>
      <c r="U230" s="1" t="n">
        <f aca="false">L230</f>
        <v>0</v>
      </c>
      <c r="W230" s="1" t="n">
        <f aca="false">E230</f>
        <v>1375</v>
      </c>
      <c r="X230" s="1" t="n">
        <f aca="false">D230</f>
        <v>39341.45</v>
      </c>
      <c r="Y230" s="1" t="n">
        <f aca="false">G230</f>
        <v>95</v>
      </c>
      <c r="Z230" s="1" t="n">
        <f aca="false">F230</f>
        <v>0.093</v>
      </c>
      <c r="AA230" s="1" t="n">
        <f aca="false">H230</f>
        <v>3.92467948717949</v>
      </c>
      <c r="AB230" s="1" t="n">
        <f aca="false">J230</f>
        <v>1</v>
      </c>
      <c r="AC230" s="1" t="n">
        <f aca="false">K230</f>
        <v>0</v>
      </c>
      <c r="AD230" s="1" t="n">
        <f aca="false">L230</f>
        <v>0</v>
      </c>
    </row>
    <row r="231" customFormat="false" ht="15" hidden="false" customHeight="false" outlineLevel="0" collapsed="false">
      <c r="A231" s="5" t="s">
        <v>92</v>
      </c>
      <c r="B231" s="5" t="s">
        <v>28</v>
      </c>
      <c r="C231" s="5" t="s">
        <v>31</v>
      </c>
      <c r="D231" s="5" t="n">
        <v>37324.23</v>
      </c>
      <c r="E231" s="5" t="n">
        <v>5957</v>
      </c>
      <c r="F231" s="5" t="n">
        <v>0.071</v>
      </c>
      <c r="G231" s="5" t="n">
        <v>85.9</v>
      </c>
      <c r="H231" s="5" t="n">
        <v>3.8</v>
      </c>
      <c r="I231" s="5" t="n">
        <v>570963.31</v>
      </c>
      <c r="J231" s="5" t="n">
        <v>0</v>
      </c>
      <c r="K231" s="5" t="n">
        <v>0</v>
      </c>
      <c r="L231" s="5" t="n">
        <v>0</v>
      </c>
      <c r="P231" s="1" t="n">
        <f aca="false">E231</f>
        <v>5957</v>
      </c>
      <c r="Q231" s="1" t="n">
        <f aca="false">D231</f>
        <v>37324.23</v>
      </c>
      <c r="R231" s="1" t="n">
        <f aca="false">G231</f>
        <v>85.9</v>
      </c>
      <c r="S231" s="1" t="n">
        <f aca="false">J231</f>
        <v>0</v>
      </c>
      <c r="T231" s="1" t="n">
        <f aca="false">K231</f>
        <v>0</v>
      </c>
      <c r="U231" s="1" t="n">
        <f aca="false">L231</f>
        <v>0</v>
      </c>
      <c r="W231" s="1" t="n">
        <f aca="false">E231</f>
        <v>5957</v>
      </c>
      <c r="X231" s="1" t="n">
        <f aca="false">D231</f>
        <v>37324.23</v>
      </c>
      <c r="Y231" s="1" t="n">
        <f aca="false">G231</f>
        <v>85.9</v>
      </c>
      <c r="Z231" s="1" t="n">
        <f aca="false">F231</f>
        <v>0.071</v>
      </c>
      <c r="AA231" s="1" t="n">
        <f aca="false">H231</f>
        <v>3.8</v>
      </c>
      <c r="AB231" s="1" t="n">
        <f aca="false">J231</f>
        <v>0</v>
      </c>
      <c r="AC231" s="1" t="n">
        <f aca="false">K231</f>
        <v>0</v>
      </c>
      <c r="AD231" s="1" t="n">
        <f aca="false">L231</f>
        <v>0</v>
      </c>
    </row>
    <row r="232" customFormat="false" ht="15" hidden="false" customHeight="false" outlineLevel="0" collapsed="false">
      <c r="A232" s="5" t="s">
        <v>92</v>
      </c>
      <c r="B232" s="5" t="s">
        <v>28</v>
      </c>
      <c r="C232" s="5" t="s">
        <v>31</v>
      </c>
      <c r="D232" s="5" t="n">
        <v>113736</v>
      </c>
      <c r="E232" s="5" t="n">
        <v>8961</v>
      </c>
      <c r="F232" s="5" t="n">
        <v>0.202</v>
      </c>
      <c r="G232" s="5" t="n">
        <v>86.2</v>
      </c>
      <c r="H232" s="5" t="n">
        <v>4</v>
      </c>
      <c r="I232" s="5" t="n">
        <v>870937.4</v>
      </c>
      <c r="J232" s="5" t="n">
        <v>0</v>
      </c>
      <c r="K232" s="5" t="n">
        <v>0</v>
      </c>
      <c r="L232" s="5" t="n">
        <v>0</v>
      </c>
      <c r="P232" s="1" t="n">
        <f aca="false">E232</f>
        <v>8961</v>
      </c>
      <c r="Q232" s="1" t="n">
        <f aca="false">D232</f>
        <v>113736</v>
      </c>
      <c r="R232" s="1" t="n">
        <f aca="false">G232</f>
        <v>86.2</v>
      </c>
      <c r="S232" s="1" t="n">
        <f aca="false">J232</f>
        <v>0</v>
      </c>
      <c r="T232" s="1" t="n">
        <f aca="false">K232</f>
        <v>0</v>
      </c>
      <c r="U232" s="1" t="n">
        <f aca="false">L232</f>
        <v>0</v>
      </c>
      <c r="W232" s="1" t="n">
        <f aca="false">E232</f>
        <v>8961</v>
      </c>
      <c r="X232" s="1" t="n">
        <f aca="false">D232</f>
        <v>113736</v>
      </c>
      <c r="Y232" s="1" t="n">
        <f aca="false">G232</f>
        <v>86.2</v>
      </c>
      <c r="Z232" s="1" t="n">
        <f aca="false">F232</f>
        <v>0.202</v>
      </c>
      <c r="AA232" s="1" t="n">
        <f aca="false">H232</f>
        <v>4</v>
      </c>
      <c r="AB232" s="1" t="n">
        <f aca="false">J232</f>
        <v>0</v>
      </c>
      <c r="AC232" s="1" t="n">
        <f aca="false">K232</f>
        <v>0</v>
      </c>
      <c r="AD232" s="1" t="n">
        <f aca="false">L232</f>
        <v>0</v>
      </c>
    </row>
    <row r="233" customFormat="false" ht="15" hidden="false" customHeight="false" outlineLevel="0" collapsed="false">
      <c r="A233" s="5" t="s">
        <v>92</v>
      </c>
      <c r="B233" s="5" t="s">
        <v>28</v>
      </c>
      <c r="C233" s="5" t="s">
        <v>31</v>
      </c>
      <c r="D233" s="5" t="n">
        <v>33173.95</v>
      </c>
      <c r="E233" s="5" t="n">
        <v>6545</v>
      </c>
      <c r="F233" s="5" t="n">
        <v>0.169</v>
      </c>
      <c r="G233" s="5" t="n">
        <v>84.4</v>
      </c>
      <c r="H233" s="5" t="n">
        <v>3.9</v>
      </c>
      <c r="I233" s="5" t="n">
        <v>596969.27</v>
      </c>
      <c r="J233" s="5" t="n">
        <v>0</v>
      </c>
      <c r="K233" s="5" t="n">
        <v>0</v>
      </c>
      <c r="L233" s="5" t="n">
        <v>0</v>
      </c>
      <c r="P233" s="1" t="n">
        <f aca="false">E233</f>
        <v>6545</v>
      </c>
      <c r="Q233" s="1" t="n">
        <f aca="false">D233</f>
        <v>33173.95</v>
      </c>
      <c r="R233" s="1" t="n">
        <f aca="false">G233</f>
        <v>84.4</v>
      </c>
      <c r="S233" s="1" t="n">
        <f aca="false">J233</f>
        <v>0</v>
      </c>
      <c r="T233" s="1" t="n">
        <f aca="false">K233</f>
        <v>0</v>
      </c>
      <c r="U233" s="1" t="n">
        <f aca="false">L233</f>
        <v>0</v>
      </c>
      <c r="W233" s="1" t="n">
        <f aca="false">E233</f>
        <v>6545</v>
      </c>
      <c r="X233" s="1" t="n">
        <f aca="false">D233</f>
        <v>33173.95</v>
      </c>
      <c r="Y233" s="1" t="n">
        <f aca="false">G233</f>
        <v>84.4</v>
      </c>
      <c r="Z233" s="1" t="n">
        <f aca="false">F233</f>
        <v>0.169</v>
      </c>
      <c r="AA233" s="1" t="n">
        <f aca="false">H233</f>
        <v>3.9</v>
      </c>
      <c r="AB233" s="1" t="n">
        <f aca="false">J233</f>
        <v>0</v>
      </c>
      <c r="AC233" s="1" t="n">
        <f aca="false">K233</f>
        <v>0</v>
      </c>
      <c r="AD233" s="1" t="n">
        <f aca="false">L233</f>
        <v>0</v>
      </c>
    </row>
    <row r="234" customFormat="false" ht="15" hidden="false" customHeight="false" outlineLevel="0" collapsed="false">
      <c r="A234" s="5" t="s">
        <v>92</v>
      </c>
      <c r="B234" s="5" t="s">
        <v>28</v>
      </c>
      <c r="C234" s="5" t="s">
        <v>31</v>
      </c>
      <c r="D234" s="5" t="n">
        <v>25818.08</v>
      </c>
      <c r="E234" s="5" t="n">
        <v>5457</v>
      </c>
      <c r="F234" s="5" t="n">
        <v>0</v>
      </c>
      <c r="G234" s="5" t="n">
        <v>95.4</v>
      </c>
      <c r="H234" s="5" t="n">
        <v>3.7</v>
      </c>
      <c r="I234" s="5" t="n">
        <v>647512.85</v>
      </c>
      <c r="J234" s="5" t="n">
        <v>0</v>
      </c>
      <c r="K234" s="5" t="n">
        <v>0</v>
      </c>
      <c r="L234" s="5" t="n">
        <v>0</v>
      </c>
      <c r="P234" s="1" t="n">
        <f aca="false">E234</f>
        <v>5457</v>
      </c>
      <c r="Q234" s="1" t="n">
        <f aca="false">D234</f>
        <v>25818.08</v>
      </c>
      <c r="R234" s="1" t="n">
        <f aca="false">G234</f>
        <v>95.4</v>
      </c>
      <c r="S234" s="1" t="n">
        <f aca="false">J234</f>
        <v>0</v>
      </c>
      <c r="T234" s="1" t="n">
        <f aca="false">K234</f>
        <v>0</v>
      </c>
      <c r="U234" s="1" t="n">
        <f aca="false">L234</f>
        <v>0</v>
      </c>
      <c r="W234" s="1" t="n">
        <f aca="false">E234</f>
        <v>5457</v>
      </c>
      <c r="X234" s="1" t="n">
        <f aca="false">D234</f>
        <v>25818.08</v>
      </c>
      <c r="Y234" s="1" t="n">
        <f aca="false">G234</f>
        <v>95.4</v>
      </c>
      <c r="Z234" s="1" t="n">
        <f aca="false">F234</f>
        <v>0</v>
      </c>
      <c r="AA234" s="1" t="n">
        <f aca="false">H234</f>
        <v>3.7</v>
      </c>
      <c r="AB234" s="1" t="n">
        <f aca="false">J234</f>
        <v>0</v>
      </c>
      <c r="AC234" s="1" t="n">
        <f aca="false">K234</f>
        <v>0</v>
      </c>
      <c r="AD234" s="1" t="n">
        <f aca="false">L234</f>
        <v>0</v>
      </c>
    </row>
    <row r="235" customFormat="false" ht="15" hidden="false" customHeight="false" outlineLevel="0" collapsed="false">
      <c r="A235" s="5" t="s">
        <v>93</v>
      </c>
      <c r="B235" s="5" t="s">
        <v>40</v>
      </c>
      <c r="C235" s="5" t="s">
        <v>29</v>
      </c>
      <c r="D235" s="5" t="n">
        <v>47241.92</v>
      </c>
      <c r="E235" s="5" t="n">
        <v>4264</v>
      </c>
      <c r="F235" s="5" t="n">
        <v>0.069</v>
      </c>
      <c r="G235" s="5" t="n">
        <v>95.3</v>
      </c>
      <c r="H235" s="5" t="n">
        <v>4.3</v>
      </c>
      <c r="I235" s="5" t="n">
        <v>658072.14</v>
      </c>
      <c r="J235" s="5" t="n">
        <v>0</v>
      </c>
      <c r="K235" s="5" t="n">
        <v>1</v>
      </c>
      <c r="L235" s="5" t="n">
        <v>0</v>
      </c>
      <c r="P235" s="1" t="n">
        <f aca="false">E235</f>
        <v>4264</v>
      </c>
      <c r="Q235" s="1" t="n">
        <f aca="false">D235</f>
        <v>47241.92</v>
      </c>
      <c r="R235" s="1" t="n">
        <f aca="false">G235</f>
        <v>95.3</v>
      </c>
      <c r="S235" s="1" t="n">
        <f aca="false">J235</f>
        <v>0</v>
      </c>
      <c r="T235" s="1" t="n">
        <f aca="false">K235</f>
        <v>1</v>
      </c>
      <c r="U235" s="1" t="n">
        <f aca="false">L235</f>
        <v>0</v>
      </c>
      <c r="W235" s="1" t="n">
        <f aca="false">E235</f>
        <v>4264</v>
      </c>
      <c r="X235" s="1" t="n">
        <f aca="false">D235</f>
        <v>47241.92</v>
      </c>
      <c r="Y235" s="1" t="n">
        <f aca="false">G235</f>
        <v>95.3</v>
      </c>
      <c r="Z235" s="1" t="n">
        <f aca="false">F235</f>
        <v>0.069</v>
      </c>
      <c r="AA235" s="1" t="n">
        <f aca="false">H235</f>
        <v>4.3</v>
      </c>
      <c r="AB235" s="1" t="n">
        <f aca="false">J235</f>
        <v>0</v>
      </c>
      <c r="AC235" s="1" t="n">
        <f aca="false">K235</f>
        <v>1</v>
      </c>
      <c r="AD235" s="1" t="n">
        <f aca="false">L235</f>
        <v>0</v>
      </c>
    </row>
    <row r="236" customFormat="false" ht="15" hidden="false" customHeight="false" outlineLevel="0" collapsed="false">
      <c r="A236" s="5" t="s">
        <v>93</v>
      </c>
      <c r="B236" s="5" t="s">
        <v>40</v>
      </c>
      <c r="C236" s="5" t="s">
        <v>29</v>
      </c>
      <c r="D236" s="5" t="n">
        <v>61650.79</v>
      </c>
      <c r="E236" s="5" t="n">
        <v>5321</v>
      </c>
      <c r="F236" s="5" t="n">
        <v>0.126</v>
      </c>
      <c r="G236" s="5" t="n">
        <v>89.2</v>
      </c>
      <c r="H236" s="5" t="n">
        <v>4</v>
      </c>
      <c r="I236" s="5" t="n">
        <v>723305.11</v>
      </c>
      <c r="J236" s="5" t="n">
        <v>0</v>
      </c>
      <c r="K236" s="5" t="n">
        <v>1</v>
      </c>
      <c r="L236" s="5" t="n">
        <v>0</v>
      </c>
      <c r="P236" s="1" t="n">
        <f aca="false">E236</f>
        <v>5321</v>
      </c>
      <c r="Q236" s="1" t="n">
        <f aca="false">D236</f>
        <v>61650.79</v>
      </c>
      <c r="R236" s="1" t="n">
        <f aca="false">G236</f>
        <v>89.2</v>
      </c>
      <c r="S236" s="1" t="n">
        <f aca="false">J236</f>
        <v>0</v>
      </c>
      <c r="T236" s="1" t="n">
        <f aca="false">K236</f>
        <v>1</v>
      </c>
      <c r="U236" s="1" t="n">
        <f aca="false">L236</f>
        <v>0</v>
      </c>
      <c r="W236" s="1" t="n">
        <f aca="false">E236</f>
        <v>5321</v>
      </c>
      <c r="X236" s="1" t="n">
        <f aca="false">D236</f>
        <v>61650.79</v>
      </c>
      <c r="Y236" s="1" t="n">
        <f aca="false">G236</f>
        <v>89.2</v>
      </c>
      <c r="Z236" s="1" t="n">
        <f aca="false">F236</f>
        <v>0.126</v>
      </c>
      <c r="AA236" s="1" t="n">
        <f aca="false">H236</f>
        <v>4</v>
      </c>
      <c r="AB236" s="1" t="n">
        <f aca="false">J236</f>
        <v>0</v>
      </c>
      <c r="AC236" s="1" t="n">
        <f aca="false">K236</f>
        <v>1</v>
      </c>
      <c r="AD236" s="1" t="n">
        <f aca="false">L236</f>
        <v>0</v>
      </c>
    </row>
    <row r="237" customFormat="false" ht="15" hidden="false" customHeight="false" outlineLevel="0" collapsed="false">
      <c r="A237" s="5" t="s">
        <v>93</v>
      </c>
      <c r="B237" s="5" t="s">
        <v>40</v>
      </c>
      <c r="C237" s="5" t="s">
        <v>29</v>
      </c>
      <c r="D237" s="5" t="n">
        <v>62582.71</v>
      </c>
      <c r="E237" s="5" t="n">
        <v>5479</v>
      </c>
      <c r="F237" s="5" t="n">
        <v>0.048</v>
      </c>
      <c r="G237" s="5" t="n">
        <v>81.2</v>
      </c>
      <c r="H237" s="5" t="n">
        <v>4.5</v>
      </c>
      <c r="I237" s="5" t="n">
        <v>640666.53</v>
      </c>
      <c r="J237" s="5" t="n">
        <v>0</v>
      </c>
      <c r="K237" s="5" t="n">
        <v>1</v>
      </c>
      <c r="L237" s="5" t="n">
        <v>0</v>
      </c>
      <c r="P237" s="1" t="n">
        <f aca="false">E237</f>
        <v>5479</v>
      </c>
      <c r="Q237" s="1" t="n">
        <f aca="false">D237</f>
        <v>62582.71</v>
      </c>
      <c r="R237" s="1" t="n">
        <f aca="false">G237</f>
        <v>81.2</v>
      </c>
      <c r="S237" s="1" t="n">
        <f aca="false">J237</f>
        <v>0</v>
      </c>
      <c r="T237" s="1" t="n">
        <f aca="false">K237</f>
        <v>1</v>
      </c>
      <c r="U237" s="1" t="n">
        <f aca="false">L237</f>
        <v>0</v>
      </c>
      <c r="W237" s="1" t="n">
        <f aca="false">E237</f>
        <v>5479</v>
      </c>
      <c r="X237" s="1" t="n">
        <f aca="false">D237</f>
        <v>62582.71</v>
      </c>
      <c r="Y237" s="1" t="n">
        <f aca="false">G237</f>
        <v>81.2</v>
      </c>
      <c r="Z237" s="1" t="n">
        <f aca="false">F237</f>
        <v>0.048</v>
      </c>
      <c r="AA237" s="1" t="n">
        <f aca="false">H237</f>
        <v>4.5</v>
      </c>
      <c r="AB237" s="1" t="n">
        <f aca="false">J237</f>
        <v>0</v>
      </c>
      <c r="AC237" s="1" t="n">
        <f aca="false">K237</f>
        <v>1</v>
      </c>
      <c r="AD237" s="1" t="n">
        <f aca="false">L237</f>
        <v>0</v>
      </c>
    </row>
    <row r="238" customFormat="false" ht="15" hidden="false" customHeight="false" outlineLevel="0" collapsed="false">
      <c r="A238" s="5" t="s">
        <v>93</v>
      </c>
      <c r="B238" s="5" t="s">
        <v>40</v>
      </c>
      <c r="C238" s="5" t="s">
        <v>29</v>
      </c>
      <c r="D238" s="5" t="n">
        <v>47944.14</v>
      </c>
      <c r="E238" s="5" t="n">
        <v>6169</v>
      </c>
      <c r="F238" s="5" t="n">
        <v>0.119</v>
      </c>
      <c r="G238" s="5" t="n">
        <v>92.2</v>
      </c>
      <c r="H238" s="5" t="n">
        <v>4.1</v>
      </c>
      <c r="I238" s="5" t="n">
        <v>670629.48</v>
      </c>
      <c r="J238" s="5" t="n">
        <v>0</v>
      </c>
      <c r="K238" s="5" t="n">
        <v>1</v>
      </c>
      <c r="L238" s="5" t="n">
        <v>0</v>
      </c>
      <c r="P238" s="1" t="n">
        <f aca="false">E238</f>
        <v>6169</v>
      </c>
      <c r="Q238" s="1" t="n">
        <f aca="false">D238</f>
        <v>47944.14</v>
      </c>
      <c r="R238" s="1" t="n">
        <f aca="false">G238</f>
        <v>92.2</v>
      </c>
      <c r="S238" s="1" t="n">
        <f aca="false">J238</f>
        <v>0</v>
      </c>
      <c r="T238" s="1" t="n">
        <f aca="false">K238</f>
        <v>1</v>
      </c>
      <c r="U238" s="1" t="n">
        <f aca="false">L238</f>
        <v>0</v>
      </c>
      <c r="W238" s="1" t="n">
        <f aca="false">E238</f>
        <v>6169</v>
      </c>
      <c r="X238" s="1" t="n">
        <f aca="false">D238</f>
        <v>47944.14</v>
      </c>
      <c r="Y238" s="1" t="n">
        <f aca="false">G238</f>
        <v>92.2</v>
      </c>
      <c r="Z238" s="1" t="n">
        <f aca="false">F238</f>
        <v>0.119</v>
      </c>
      <c r="AA238" s="1" t="n">
        <f aca="false">H238</f>
        <v>4.1</v>
      </c>
      <c r="AB238" s="1" t="n">
        <f aca="false">J238</f>
        <v>0</v>
      </c>
      <c r="AC238" s="1" t="n">
        <f aca="false">K238</f>
        <v>1</v>
      </c>
      <c r="AD238" s="1" t="n">
        <f aca="false">L238</f>
        <v>0</v>
      </c>
    </row>
    <row r="239" customFormat="false" ht="15" hidden="false" customHeight="false" outlineLevel="0" collapsed="false">
      <c r="A239" s="5" t="s">
        <v>94</v>
      </c>
      <c r="B239" s="5" t="s">
        <v>40</v>
      </c>
      <c r="C239" s="5" t="s">
        <v>41</v>
      </c>
      <c r="D239" s="5" t="n">
        <v>46495.4</v>
      </c>
      <c r="E239" s="5" t="n">
        <v>9908</v>
      </c>
      <c r="F239" s="5" t="n">
        <v>0.121</v>
      </c>
      <c r="G239" s="5" t="n">
        <v>89.4</v>
      </c>
      <c r="H239" s="5" t="n">
        <v>3.7</v>
      </c>
      <c r="I239" s="5" t="n">
        <v>721079.35</v>
      </c>
      <c r="J239" s="5" t="n">
        <v>1</v>
      </c>
      <c r="K239" s="5" t="n">
        <v>0</v>
      </c>
      <c r="L239" s="5" t="n">
        <v>0</v>
      </c>
      <c r="P239" s="1" t="n">
        <f aca="false">E239</f>
        <v>9908</v>
      </c>
      <c r="Q239" s="1" t="n">
        <f aca="false">D239</f>
        <v>46495.4</v>
      </c>
      <c r="R239" s="1" t="n">
        <f aca="false">G239</f>
        <v>89.4</v>
      </c>
      <c r="S239" s="1" t="n">
        <f aca="false">J239</f>
        <v>1</v>
      </c>
      <c r="T239" s="1" t="n">
        <f aca="false">K239</f>
        <v>0</v>
      </c>
      <c r="U239" s="1" t="n">
        <f aca="false">L239</f>
        <v>0</v>
      </c>
      <c r="W239" s="1" t="n">
        <f aca="false">E239</f>
        <v>9908</v>
      </c>
      <c r="X239" s="1" t="n">
        <f aca="false">D239</f>
        <v>46495.4</v>
      </c>
      <c r="Y239" s="1" t="n">
        <f aca="false">G239</f>
        <v>89.4</v>
      </c>
      <c r="Z239" s="1" t="n">
        <f aca="false">F239</f>
        <v>0.121</v>
      </c>
      <c r="AA239" s="1" t="n">
        <f aca="false">H239</f>
        <v>3.7</v>
      </c>
      <c r="AB239" s="1" t="n">
        <f aca="false">J239</f>
        <v>1</v>
      </c>
      <c r="AC239" s="1" t="n">
        <f aca="false">K239</f>
        <v>0</v>
      </c>
      <c r="AD239" s="1" t="n">
        <f aca="false">L239</f>
        <v>0</v>
      </c>
    </row>
    <row r="240" customFormat="false" ht="15" hidden="false" customHeight="false" outlineLevel="0" collapsed="false">
      <c r="A240" s="5" t="s">
        <v>94</v>
      </c>
      <c r="B240" s="5" t="s">
        <v>40</v>
      </c>
      <c r="C240" s="5" t="s">
        <v>41</v>
      </c>
      <c r="D240" s="5" t="n">
        <v>72961.95</v>
      </c>
      <c r="E240" s="5" t="n">
        <v>9996</v>
      </c>
      <c r="F240" s="5" t="n">
        <v>0.106</v>
      </c>
      <c r="G240" s="5" t="n">
        <v>89.1</v>
      </c>
      <c r="H240" s="5" t="n">
        <v>3.4</v>
      </c>
      <c r="I240" s="5" t="n">
        <v>810355.02</v>
      </c>
      <c r="J240" s="5" t="n">
        <v>1</v>
      </c>
      <c r="K240" s="5" t="n">
        <v>0</v>
      </c>
      <c r="L240" s="5" t="n">
        <v>0</v>
      </c>
      <c r="P240" s="1" t="n">
        <f aca="false">E240</f>
        <v>9996</v>
      </c>
      <c r="Q240" s="1" t="n">
        <f aca="false">D240</f>
        <v>72961.95</v>
      </c>
      <c r="R240" s="1" t="n">
        <f aca="false">G240</f>
        <v>89.1</v>
      </c>
      <c r="S240" s="1" t="n">
        <f aca="false">J240</f>
        <v>1</v>
      </c>
      <c r="T240" s="1" t="n">
        <f aca="false">K240</f>
        <v>0</v>
      </c>
      <c r="U240" s="1" t="n">
        <f aca="false">L240</f>
        <v>0</v>
      </c>
      <c r="W240" s="1" t="n">
        <f aca="false">E240</f>
        <v>9996</v>
      </c>
      <c r="X240" s="1" t="n">
        <f aca="false">D240</f>
        <v>72961.95</v>
      </c>
      <c r="Y240" s="1" t="n">
        <f aca="false">G240</f>
        <v>89.1</v>
      </c>
      <c r="Z240" s="1" t="n">
        <f aca="false">F240</f>
        <v>0.106</v>
      </c>
      <c r="AA240" s="1" t="n">
        <f aca="false">H240</f>
        <v>3.4</v>
      </c>
      <c r="AB240" s="1" t="n">
        <f aca="false">J240</f>
        <v>1</v>
      </c>
      <c r="AC240" s="1" t="n">
        <f aca="false">K240</f>
        <v>0</v>
      </c>
      <c r="AD240" s="1" t="n">
        <f aca="false">L240</f>
        <v>0</v>
      </c>
    </row>
    <row r="241" customFormat="false" ht="15" hidden="false" customHeight="false" outlineLevel="0" collapsed="false">
      <c r="A241" s="5" t="s">
        <v>94</v>
      </c>
      <c r="B241" s="5" t="s">
        <v>40</v>
      </c>
      <c r="C241" s="5" t="s">
        <v>41</v>
      </c>
      <c r="D241" s="5" t="n">
        <v>59060.05</v>
      </c>
      <c r="E241" s="5" t="n">
        <v>9702</v>
      </c>
      <c r="F241" s="5" t="n">
        <v>0.201</v>
      </c>
      <c r="G241" s="5" t="n">
        <v>80.9</v>
      </c>
      <c r="H241" s="5" t="n">
        <v>3.2</v>
      </c>
      <c r="I241" s="5" t="n">
        <v>761919.25</v>
      </c>
      <c r="J241" s="5" t="n">
        <v>1</v>
      </c>
      <c r="K241" s="5" t="n">
        <v>0</v>
      </c>
      <c r="L241" s="5" t="n">
        <v>0</v>
      </c>
      <c r="P241" s="1" t="n">
        <f aca="false">E241</f>
        <v>9702</v>
      </c>
      <c r="Q241" s="1" t="n">
        <f aca="false">D241</f>
        <v>59060.05</v>
      </c>
      <c r="R241" s="1" t="n">
        <f aca="false">G241</f>
        <v>80.9</v>
      </c>
      <c r="S241" s="1" t="n">
        <f aca="false">J241</f>
        <v>1</v>
      </c>
      <c r="T241" s="1" t="n">
        <f aca="false">K241</f>
        <v>0</v>
      </c>
      <c r="U241" s="1" t="n">
        <f aca="false">L241</f>
        <v>0</v>
      </c>
      <c r="W241" s="1" t="n">
        <f aca="false">E241</f>
        <v>9702</v>
      </c>
      <c r="X241" s="1" t="n">
        <f aca="false">D241</f>
        <v>59060.05</v>
      </c>
      <c r="Y241" s="1" t="n">
        <f aca="false">G241</f>
        <v>80.9</v>
      </c>
      <c r="Z241" s="1" t="n">
        <f aca="false">F241</f>
        <v>0.201</v>
      </c>
      <c r="AA241" s="1" t="n">
        <f aca="false">H241</f>
        <v>3.2</v>
      </c>
      <c r="AB241" s="1" t="n">
        <f aca="false">J241</f>
        <v>1</v>
      </c>
      <c r="AC241" s="1" t="n">
        <f aca="false">K241</f>
        <v>0</v>
      </c>
      <c r="AD241" s="1" t="n">
        <f aca="false">L241</f>
        <v>0</v>
      </c>
    </row>
    <row r="242" customFormat="false" ht="15" hidden="false" customHeight="false" outlineLevel="0" collapsed="false">
      <c r="A242" s="5" t="s">
        <v>94</v>
      </c>
      <c r="B242" s="5" t="s">
        <v>40</v>
      </c>
      <c r="C242" s="5" t="s">
        <v>41</v>
      </c>
      <c r="D242" s="5" t="n">
        <v>26248.1</v>
      </c>
      <c r="E242" s="5" t="n">
        <v>9314</v>
      </c>
      <c r="F242" s="5" t="n">
        <v>0.186</v>
      </c>
      <c r="G242" s="5" t="n">
        <v>83.7</v>
      </c>
      <c r="H242" s="5" t="n">
        <v>3.3</v>
      </c>
      <c r="I242" s="5" t="n">
        <v>737070.18</v>
      </c>
      <c r="J242" s="5" t="n">
        <v>1</v>
      </c>
      <c r="K242" s="5" t="n">
        <v>0</v>
      </c>
      <c r="L242" s="5" t="n">
        <v>0</v>
      </c>
      <c r="P242" s="1" t="n">
        <f aca="false">E242</f>
        <v>9314</v>
      </c>
      <c r="Q242" s="1" t="n">
        <f aca="false">D242</f>
        <v>26248.1</v>
      </c>
      <c r="R242" s="1" t="n">
        <f aca="false">G242</f>
        <v>83.7</v>
      </c>
      <c r="S242" s="1" t="n">
        <f aca="false">J242</f>
        <v>1</v>
      </c>
      <c r="T242" s="1" t="n">
        <f aca="false">K242</f>
        <v>0</v>
      </c>
      <c r="U242" s="1" t="n">
        <f aca="false">L242</f>
        <v>0</v>
      </c>
      <c r="W242" s="1" t="n">
        <f aca="false">E242</f>
        <v>9314</v>
      </c>
      <c r="X242" s="1" t="n">
        <f aca="false">D242</f>
        <v>26248.1</v>
      </c>
      <c r="Y242" s="1" t="n">
        <f aca="false">G242</f>
        <v>83.7</v>
      </c>
      <c r="Z242" s="1" t="n">
        <f aca="false">F242</f>
        <v>0.186</v>
      </c>
      <c r="AA242" s="1" t="n">
        <f aca="false">H242</f>
        <v>3.3</v>
      </c>
      <c r="AB242" s="1" t="n">
        <f aca="false">J242</f>
        <v>1</v>
      </c>
      <c r="AC242" s="1" t="n">
        <f aca="false">K242</f>
        <v>0</v>
      </c>
      <c r="AD242" s="1" t="n">
        <f aca="false">L242</f>
        <v>0</v>
      </c>
    </row>
    <row r="243" customFormat="false" ht="15" hidden="false" customHeight="false" outlineLevel="0" collapsed="false">
      <c r="A243" s="5" t="s">
        <v>95</v>
      </c>
      <c r="B243" s="5" t="s">
        <v>37</v>
      </c>
      <c r="C243" s="5" t="s">
        <v>34</v>
      </c>
      <c r="D243" s="5" t="n">
        <v>69900.12</v>
      </c>
      <c r="E243" s="5" t="n">
        <v>8055</v>
      </c>
      <c r="F243" s="5" t="n">
        <v>0.281</v>
      </c>
      <c r="G243" s="5" t="n">
        <v>85.6</v>
      </c>
      <c r="H243" s="5" t="n">
        <v>2.9</v>
      </c>
      <c r="I243" s="5" t="n">
        <v>776992.93</v>
      </c>
      <c r="J243" s="5" t="n">
        <v>0</v>
      </c>
      <c r="K243" s="5" t="n">
        <v>0</v>
      </c>
      <c r="L243" s="5" t="n">
        <v>1</v>
      </c>
      <c r="P243" s="1" t="n">
        <f aca="false">E243</f>
        <v>8055</v>
      </c>
      <c r="Q243" s="1" t="n">
        <f aca="false">D243</f>
        <v>69900.12</v>
      </c>
      <c r="R243" s="1" t="n">
        <f aca="false">G243</f>
        <v>85.6</v>
      </c>
      <c r="S243" s="1" t="n">
        <f aca="false">J243</f>
        <v>0</v>
      </c>
      <c r="T243" s="1" t="n">
        <f aca="false">K243</f>
        <v>0</v>
      </c>
      <c r="U243" s="1" t="n">
        <f aca="false">L243</f>
        <v>1</v>
      </c>
      <c r="W243" s="1" t="n">
        <f aca="false">E243</f>
        <v>8055</v>
      </c>
      <c r="X243" s="1" t="n">
        <f aca="false">D243</f>
        <v>69900.12</v>
      </c>
      <c r="Y243" s="1" t="n">
        <f aca="false">G243</f>
        <v>85.6</v>
      </c>
      <c r="Z243" s="1" t="n">
        <f aca="false">F243</f>
        <v>0.281</v>
      </c>
      <c r="AA243" s="1" t="n">
        <f aca="false">H243</f>
        <v>2.9</v>
      </c>
      <c r="AB243" s="1" t="n">
        <f aca="false">J243</f>
        <v>0</v>
      </c>
      <c r="AC243" s="1" t="n">
        <f aca="false">K243</f>
        <v>0</v>
      </c>
      <c r="AD243" s="1" t="n">
        <f aca="false">L243</f>
        <v>1</v>
      </c>
    </row>
    <row r="244" customFormat="false" ht="15" hidden="false" customHeight="false" outlineLevel="0" collapsed="false">
      <c r="A244" s="5" t="s">
        <v>95</v>
      </c>
      <c r="B244" s="5" t="s">
        <v>37</v>
      </c>
      <c r="C244" s="5" t="s">
        <v>34</v>
      </c>
      <c r="D244" s="5" t="n">
        <v>51781.6</v>
      </c>
      <c r="E244" s="5" t="n">
        <v>5648</v>
      </c>
      <c r="F244" s="5" t="n">
        <v>0.059</v>
      </c>
      <c r="G244" s="5" t="n">
        <v>85.5</v>
      </c>
      <c r="H244" s="5" t="n">
        <v>3.7</v>
      </c>
      <c r="I244" s="5" t="n">
        <v>676337.41</v>
      </c>
      <c r="J244" s="5" t="n">
        <v>0</v>
      </c>
      <c r="K244" s="5" t="n">
        <v>0</v>
      </c>
      <c r="L244" s="5" t="n">
        <v>1</v>
      </c>
      <c r="P244" s="1" t="n">
        <f aca="false">E244</f>
        <v>5648</v>
      </c>
      <c r="Q244" s="1" t="n">
        <f aca="false">D244</f>
        <v>51781.6</v>
      </c>
      <c r="R244" s="1" t="n">
        <f aca="false">G244</f>
        <v>85.5</v>
      </c>
      <c r="S244" s="1" t="n">
        <f aca="false">J244</f>
        <v>0</v>
      </c>
      <c r="T244" s="1" t="n">
        <f aca="false">K244</f>
        <v>0</v>
      </c>
      <c r="U244" s="1" t="n">
        <f aca="false">L244</f>
        <v>1</v>
      </c>
      <c r="W244" s="1" t="n">
        <f aca="false">E244</f>
        <v>5648</v>
      </c>
      <c r="X244" s="1" t="n">
        <f aca="false">D244</f>
        <v>51781.6</v>
      </c>
      <c r="Y244" s="1" t="n">
        <f aca="false">G244</f>
        <v>85.5</v>
      </c>
      <c r="Z244" s="1" t="n">
        <f aca="false">F244</f>
        <v>0.059</v>
      </c>
      <c r="AA244" s="1" t="n">
        <f aca="false">H244</f>
        <v>3.7</v>
      </c>
      <c r="AB244" s="1" t="n">
        <f aca="false">J244</f>
        <v>0</v>
      </c>
      <c r="AC244" s="1" t="n">
        <f aca="false">K244</f>
        <v>0</v>
      </c>
      <c r="AD244" s="1" t="n">
        <f aca="false">L244</f>
        <v>1</v>
      </c>
    </row>
    <row r="245" customFormat="false" ht="15" hidden="false" customHeight="false" outlineLevel="0" collapsed="false">
      <c r="A245" s="5" t="s">
        <v>95</v>
      </c>
      <c r="B245" s="5" t="s">
        <v>37</v>
      </c>
      <c r="C245" s="5" t="s">
        <v>34</v>
      </c>
      <c r="D245" s="5" t="n">
        <v>70799.64</v>
      </c>
      <c r="E245" s="5" t="n">
        <v>10076</v>
      </c>
      <c r="F245" s="5" t="n">
        <v>0.152</v>
      </c>
      <c r="G245" s="5" t="n">
        <v>84.8</v>
      </c>
      <c r="H245" s="5" t="n">
        <v>3.5</v>
      </c>
      <c r="I245" s="5" t="n">
        <v>828219.67</v>
      </c>
      <c r="J245" s="5" t="n">
        <v>0</v>
      </c>
      <c r="K245" s="5" t="n">
        <v>0</v>
      </c>
      <c r="L245" s="5" t="n">
        <v>1</v>
      </c>
      <c r="P245" s="1" t="n">
        <f aca="false">E245</f>
        <v>10076</v>
      </c>
      <c r="Q245" s="1" t="n">
        <f aca="false">D245</f>
        <v>70799.64</v>
      </c>
      <c r="R245" s="1" t="n">
        <f aca="false">G245</f>
        <v>84.8</v>
      </c>
      <c r="S245" s="1" t="n">
        <f aca="false">J245</f>
        <v>0</v>
      </c>
      <c r="T245" s="1" t="n">
        <f aca="false">K245</f>
        <v>0</v>
      </c>
      <c r="U245" s="1" t="n">
        <f aca="false">L245</f>
        <v>1</v>
      </c>
      <c r="W245" s="1" t="n">
        <f aca="false">E245</f>
        <v>10076</v>
      </c>
      <c r="X245" s="1" t="n">
        <f aca="false">D245</f>
        <v>70799.64</v>
      </c>
      <c r="Y245" s="1" t="n">
        <f aca="false">G245</f>
        <v>84.8</v>
      </c>
      <c r="Z245" s="1" t="n">
        <f aca="false">F245</f>
        <v>0.152</v>
      </c>
      <c r="AA245" s="1" t="n">
        <f aca="false">H245</f>
        <v>3.5</v>
      </c>
      <c r="AB245" s="1" t="n">
        <f aca="false">J245</f>
        <v>0</v>
      </c>
      <c r="AC245" s="1" t="n">
        <f aca="false">K245</f>
        <v>0</v>
      </c>
      <c r="AD245" s="1" t="n">
        <f aca="false">L245</f>
        <v>1</v>
      </c>
    </row>
    <row r="246" customFormat="false" ht="15" hidden="false" customHeight="false" outlineLevel="0" collapsed="false">
      <c r="A246" s="5" t="s">
        <v>95</v>
      </c>
      <c r="B246" s="5" t="s">
        <v>37</v>
      </c>
      <c r="C246" s="5" t="s">
        <v>34</v>
      </c>
      <c r="D246" s="5" t="n">
        <v>53546.34</v>
      </c>
      <c r="E246" s="5" t="n">
        <v>8004</v>
      </c>
      <c r="F246" s="5" t="n">
        <v>0</v>
      </c>
      <c r="G246" s="5" t="n">
        <v>95.2</v>
      </c>
      <c r="H246" s="5" t="n">
        <v>3</v>
      </c>
      <c r="I246" s="5" t="n">
        <v>763159.92</v>
      </c>
      <c r="J246" s="5" t="n">
        <v>0</v>
      </c>
      <c r="K246" s="5" t="n">
        <v>0</v>
      </c>
      <c r="L246" s="5" t="n">
        <v>1</v>
      </c>
      <c r="P246" s="1" t="n">
        <f aca="false">E246</f>
        <v>8004</v>
      </c>
      <c r="Q246" s="1" t="n">
        <f aca="false">D246</f>
        <v>53546.34</v>
      </c>
      <c r="R246" s="1" t="n">
        <f aca="false">G246</f>
        <v>95.2</v>
      </c>
      <c r="S246" s="1" t="n">
        <f aca="false">J246</f>
        <v>0</v>
      </c>
      <c r="T246" s="1" t="n">
        <f aca="false">K246</f>
        <v>0</v>
      </c>
      <c r="U246" s="1" t="n">
        <f aca="false">L246</f>
        <v>1</v>
      </c>
      <c r="W246" s="1" t="n">
        <f aca="false">E246</f>
        <v>8004</v>
      </c>
      <c r="X246" s="1" t="n">
        <f aca="false">D246</f>
        <v>53546.34</v>
      </c>
      <c r="Y246" s="1" t="n">
        <f aca="false">G246</f>
        <v>95.2</v>
      </c>
      <c r="Z246" s="1" t="n">
        <f aca="false">F246</f>
        <v>0</v>
      </c>
      <c r="AA246" s="1" t="n">
        <f aca="false">H246</f>
        <v>3</v>
      </c>
      <c r="AB246" s="1" t="n">
        <f aca="false">J246</f>
        <v>0</v>
      </c>
      <c r="AC246" s="1" t="n">
        <f aca="false">K246</f>
        <v>0</v>
      </c>
      <c r="AD246" s="1" t="n">
        <f aca="false">L246</f>
        <v>1</v>
      </c>
    </row>
    <row r="247" customFormat="false" ht="15" hidden="false" customHeight="false" outlineLevel="0" collapsed="false">
      <c r="A247" s="5" t="s">
        <v>96</v>
      </c>
      <c r="B247" s="5" t="s">
        <v>28</v>
      </c>
      <c r="C247" s="5" t="s">
        <v>31</v>
      </c>
      <c r="D247" s="5" t="n">
        <v>76942.2</v>
      </c>
      <c r="E247" s="5" t="n">
        <v>8934</v>
      </c>
      <c r="F247" s="5" t="n">
        <v>0.084</v>
      </c>
      <c r="G247" s="5" t="n">
        <v>91</v>
      </c>
      <c r="H247" s="5" t="n">
        <v>3.2</v>
      </c>
      <c r="I247" s="5" t="n">
        <v>802001.68</v>
      </c>
      <c r="J247" s="5" t="n">
        <v>0</v>
      </c>
      <c r="K247" s="5" t="n">
        <v>0</v>
      </c>
      <c r="L247" s="5" t="n">
        <v>0</v>
      </c>
      <c r="P247" s="1" t="n">
        <f aca="false">E247</f>
        <v>8934</v>
      </c>
      <c r="Q247" s="1" t="n">
        <f aca="false">D247</f>
        <v>76942.2</v>
      </c>
      <c r="R247" s="1" t="n">
        <f aca="false">G247</f>
        <v>91</v>
      </c>
      <c r="S247" s="1" t="n">
        <f aca="false">J247</f>
        <v>0</v>
      </c>
      <c r="T247" s="1" t="n">
        <f aca="false">K247</f>
        <v>0</v>
      </c>
      <c r="U247" s="1" t="n">
        <f aca="false">L247</f>
        <v>0</v>
      </c>
      <c r="W247" s="1" t="n">
        <f aca="false">E247</f>
        <v>8934</v>
      </c>
      <c r="X247" s="1" t="n">
        <f aca="false">D247</f>
        <v>76942.2</v>
      </c>
      <c r="Y247" s="1" t="n">
        <f aca="false">G247</f>
        <v>91</v>
      </c>
      <c r="Z247" s="1" t="n">
        <f aca="false">F247</f>
        <v>0.084</v>
      </c>
      <c r="AA247" s="1" t="n">
        <f aca="false">H247</f>
        <v>3.2</v>
      </c>
      <c r="AB247" s="1" t="n">
        <f aca="false">J247</f>
        <v>0</v>
      </c>
      <c r="AC247" s="1" t="n">
        <f aca="false">K247</f>
        <v>0</v>
      </c>
      <c r="AD247" s="1" t="n">
        <f aca="false">L247</f>
        <v>0</v>
      </c>
    </row>
    <row r="248" customFormat="false" ht="15" hidden="false" customHeight="false" outlineLevel="0" collapsed="false">
      <c r="A248" s="5" t="s">
        <v>96</v>
      </c>
      <c r="B248" s="5" t="s">
        <v>28</v>
      </c>
      <c r="C248" s="5" t="s">
        <v>31</v>
      </c>
      <c r="D248" s="5" t="n">
        <v>48060.78</v>
      </c>
      <c r="E248" s="5" t="n">
        <v>8733</v>
      </c>
      <c r="F248" s="5" t="n">
        <v>0</v>
      </c>
      <c r="G248" s="5" t="n">
        <v>89.9</v>
      </c>
      <c r="H248" s="5" t="n">
        <v>3.4</v>
      </c>
      <c r="I248" s="5" t="n">
        <v>750471.34</v>
      </c>
      <c r="J248" s="5" t="n">
        <v>0</v>
      </c>
      <c r="K248" s="5" t="n">
        <v>0</v>
      </c>
      <c r="L248" s="5" t="n">
        <v>0</v>
      </c>
      <c r="P248" s="1" t="n">
        <f aca="false">E248</f>
        <v>8733</v>
      </c>
      <c r="Q248" s="1" t="n">
        <f aca="false">D248</f>
        <v>48060.78</v>
      </c>
      <c r="R248" s="1" t="n">
        <f aca="false">G248</f>
        <v>89.9</v>
      </c>
      <c r="S248" s="1" t="n">
        <f aca="false">J248</f>
        <v>0</v>
      </c>
      <c r="T248" s="1" t="n">
        <f aca="false">K248</f>
        <v>0</v>
      </c>
      <c r="U248" s="1" t="n">
        <f aca="false">L248</f>
        <v>0</v>
      </c>
      <c r="W248" s="1" t="n">
        <f aca="false">E248</f>
        <v>8733</v>
      </c>
      <c r="X248" s="1" t="n">
        <f aca="false">D248</f>
        <v>48060.78</v>
      </c>
      <c r="Y248" s="1" t="n">
        <f aca="false">G248</f>
        <v>89.9</v>
      </c>
      <c r="Z248" s="1" t="n">
        <f aca="false">F248</f>
        <v>0</v>
      </c>
      <c r="AA248" s="1" t="n">
        <f aca="false">H248</f>
        <v>3.4</v>
      </c>
      <c r="AB248" s="1" t="n">
        <f aca="false">J248</f>
        <v>0</v>
      </c>
      <c r="AC248" s="1" t="n">
        <f aca="false">K248</f>
        <v>0</v>
      </c>
      <c r="AD248" s="1" t="n">
        <f aca="false">L248</f>
        <v>0</v>
      </c>
    </row>
    <row r="249" customFormat="false" ht="15" hidden="false" customHeight="false" outlineLevel="0" collapsed="false">
      <c r="A249" s="5" t="s">
        <v>96</v>
      </c>
      <c r="B249" s="5" t="s">
        <v>28</v>
      </c>
      <c r="C249" s="5" t="s">
        <v>31</v>
      </c>
      <c r="D249" s="5" t="n">
        <v>57390.04</v>
      </c>
      <c r="E249" s="5" t="n">
        <v>7374</v>
      </c>
      <c r="F249" s="5" t="n">
        <v>0.21</v>
      </c>
      <c r="G249" s="5" t="n">
        <v>91.8</v>
      </c>
      <c r="H249" s="5" t="n">
        <v>3.1</v>
      </c>
      <c r="I249" s="5" t="n">
        <v>679230.86</v>
      </c>
      <c r="J249" s="5" t="n">
        <v>0</v>
      </c>
      <c r="K249" s="5" t="n">
        <v>0</v>
      </c>
      <c r="L249" s="5" t="n">
        <v>0</v>
      </c>
      <c r="P249" s="1" t="n">
        <f aca="false">E249</f>
        <v>7374</v>
      </c>
      <c r="Q249" s="1" t="n">
        <f aca="false">D249</f>
        <v>57390.04</v>
      </c>
      <c r="R249" s="1" t="n">
        <f aca="false">G249</f>
        <v>91.8</v>
      </c>
      <c r="S249" s="1" t="n">
        <f aca="false">J249</f>
        <v>0</v>
      </c>
      <c r="T249" s="1" t="n">
        <f aca="false">K249</f>
        <v>0</v>
      </c>
      <c r="U249" s="1" t="n">
        <f aca="false">L249</f>
        <v>0</v>
      </c>
      <c r="W249" s="1" t="n">
        <f aca="false">E249</f>
        <v>7374</v>
      </c>
      <c r="X249" s="1" t="n">
        <f aca="false">D249</f>
        <v>57390.04</v>
      </c>
      <c r="Y249" s="1" t="n">
        <f aca="false">G249</f>
        <v>91.8</v>
      </c>
      <c r="Z249" s="1" t="n">
        <f aca="false">F249</f>
        <v>0.21</v>
      </c>
      <c r="AA249" s="1" t="n">
        <f aca="false">H249</f>
        <v>3.1</v>
      </c>
      <c r="AB249" s="1" t="n">
        <f aca="false">J249</f>
        <v>0</v>
      </c>
      <c r="AC249" s="1" t="n">
        <f aca="false">K249</f>
        <v>0</v>
      </c>
      <c r="AD249" s="1" t="n">
        <f aca="false">L249</f>
        <v>0</v>
      </c>
    </row>
    <row r="250" customFormat="false" ht="15" hidden="false" customHeight="false" outlineLevel="0" collapsed="false">
      <c r="A250" s="5" t="s">
        <v>96</v>
      </c>
      <c r="B250" s="5" t="s">
        <v>28</v>
      </c>
      <c r="C250" s="5" t="s">
        <v>31</v>
      </c>
      <c r="D250" s="5" t="n">
        <v>21536.18</v>
      </c>
      <c r="E250" s="5" t="n">
        <v>8119</v>
      </c>
      <c r="F250" s="5" t="n">
        <v>0.227</v>
      </c>
      <c r="G250" s="5" t="n">
        <v>90.4</v>
      </c>
      <c r="H250" s="5" t="n">
        <v>3.3</v>
      </c>
      <c r="I250" s="5" t="n">
        <v>679888.74</v>
      </c>
      <c r="J250" s="5" t="n">
        <v>0</v>
      </c>
      <c r="K250" s="5" t="n">
        <v>0</v>
      </c>
      <c r="L250" s="5" t="n">
        <v>0</v>
      </c>
      <c r="P250" s="1" t="n">
        <f aca="false">E250</f>
        <v>8119</v>
      </c>
      <c r="Q250" s="1" t="n">
        <f aca="false">D250</f>
        <v>21536.18</v>
      </c>
      <c r="R250" s="1" t="n">
        <f aca="false">G250</f>
        <v>90.4</v>
      </c>
      <c r="S250" s="1" t="n">
        <f aca="false">J250</f>
        <v>0</v>
      </c>
      <c r="T250" s="1" t="n">
        <f aca="false">K250</f>
        <v>0</v>
      </c>
      <c r="U250" s="1" t="n">
        <f aca="false">L250</f>
        <v>0</v>
      </c>
      <c r="W250" s="1" t="n">
        <f aca="false">E250</f>
        <v>8119</v>
      </c>
      <c r="X250" s="1" t="n">
        <f aca="false">D250</f>
        <v>21536.18</v>
      </c>
      <c r="Y250" s="1" t="n">
        <f aca="false">G250</f>
        <v>90.4</v>
      </c>
      <c r="Z250" s="1" t="n">
        <f aca="false">F250</f>
        <v>0.227</v>
      </c>
      <c r="AA250" s="1" t="n">
        <f aca="false">H250</f>
        <v>3.3</v>
      </c>
      <c r="AB250" s="1" t="n">
        <f aca="false">J250</f>
        <v>0</v>
      </c>
      <c r="AC250" s="1" t="n">
        <f aca="false">K250</f>
        <v>0</v>
      </c>
      <c r="AD250" s="1" t="n">
        <f aca="false">L250</f>
        <v>0</v>
      </c>
    </row>
    <row r="251" customFormat="false" ht="15" hidden="false" customHeight="false" outlineLevel="0" collapsed="false">
      <c r="A251" s="5" t="s">
        <v>97</v>
      </c>
      <c r="B251" s="5" t="s">
        <v>33</v>
      </c>
      <c r="C251" s="5" t="s">
        <v>31</v>
      </c>
      <c r="D251" s="5" t="n">
        <v>40923.67</v>
      </c>
      <c r="E251" s="5" t="n">
        <v>3875</v>
      </c>
      <c r="F251" s="5" t="n">
        <v>0.15</v>
      </c>
      <c r="G251" s="5" t="n">
        <v>96.1</v>
      </c>
      <c r="H251" s="5" t="n">
        <v>3.8</v>
      </c>
      <c r="I251" s="5" t="n">
        <v>606783.67</v>
      </c>
      <c r="J251" s="5" t="n">
        <v>0</v>
      </c>
      <c r="K251" s="5" t="n">
        <v>0</v>
      </c>
      <c r="L251" s="5" t="n">
        <v>0</v>
      </c>
      <c r="P251" s="1" t="n">
        <f aca="false">E251</f>
        <v>3875</v>
      </c>
      <c r="Q251" s="1" t="n">
        <f aca="false">D251</f>
        <v>40923.67</v>
      </c>
      <c r="R251" s="1" t="n">
        <f aca="false">G251</f>
        <v>96.1</v>
      </c>
      <c r="S251" s="1" t="n">
        <f aca="false">J251</f>
        <v>0</v>
      </c>
      <c r="T251" s="1" t="n">
        <f aca="false">K251</f>
        <v>0</v>
      </c>
      <c r="U251" s="1" t="n">
        <f aca="false">L251</f>
        <v>0</v>
      </c>
      <c r="W251" s="1" t="n">
        <f aca="false">E251</f>
        <v>3875</v>
      </c>
      <c r="X251" s="1" t="n">
        <f aca="false">D251</f>
        <v>40923.67</v>
      </c>
      <c r="Y251" s="1" t="n">
        <f aca="false">G251</f>
        <v>96.1</v>
      </c>
      <c r="Z251" s="1" t="n">
        <f aca="false">F251</f>
        <v>0.15</v>
      </c>
      <c r="AA251" s="1" t="n">
        <f aca="false">H251</f>
        <v>3.8</v>
      </c>
      <c r="AB251" s="1" t="n">
        <f aca="false">J251</f>
        <v>0</v>
      </c>
      <c r="AC251" s="1" t="n">
        <f aca="false">K251</f>
        <v>0</v>
      </c>
      <c r="AD251" s="1" t="n">
        <f aca="false">L251</f>
        <v>0</v>
      </c>
    </row>
    <row r="252" customFormat="false" ht="15" hidden="false" customHeight="false" outlineLevel="0" collapsed="false">
      <c r="A252" s="5" t="s">
        <v>97</v>
      </c>
      <c r="B252" s="5" t="s">
        <v>33</v>
      </c>
      <c r="C252" s="5" t="s">
        <v>31</v>
      </c>
      <c r="D252" s="5" t="n">
        <v>72932.55</v>
      </c>
      <c r="E252" s="5" t="n">
        <v>5765</v>
      </c>
      <c r="F252" s="5" t="n">
        <v>0.026</v>
      </c>
      <c r="G252" s="5" t="n">
        <v>81.8</v>
      </c>
      <c r="H252" s="5" t="n">
        <v>3.6</v>
      </c>
      <c r="I252" s="5" t="n">
        <v>642751.42</v>
      </c>
      <c r="J252" s="5" t="n">
        <v>0</v>
      </c>
      <c r="K252" s="5" t="n">
        <v>0</v>
      </c>
      <c r="L252" s="5" t="n">
        <v>0</v>
      </c>
      <c r="P252" s="1" t="n">
        <f aca="false">E252</f>
        <v>5765</v>
      </c>
      <c r="Q252" s="1" t="n">
        <f aca="false">D252</f>
        <v>72932.55</v>
      </c>
      <c r="R252" s="1" t="n">
        <f aca="false">G252</f>
        <v>81.8</v>
      </c>
      <c r="S252" s="1" t="n">
        <f aca="false">J252</f>
        <v>0</v>
      </c>
      <c r="T252" s="1" t="n">
        <f aca="false">K252</f>
        <v>0</v>
      </c>
      <c r="U252" s="1" t="n">
        <f aca="false">L252</f>
        <v>0</v>
      </c>
      <c r="W252" s="1" t="n">
        <f aca="false">E252</f>
        <v>5765</v>
      </c>
      <c r="X252" s="1" t="n">
        <f aca="false">D252</f>
        <v>72932.55</v>
      </c>
      <c r="Y252" s="1" t="n">
        <f aca="false">G252</f>
        <v>81.8</v>
      </c>
      <c r="Z252" s="1" t="n">
        <f aca="false">F252</f>
        <v>0.026</v>
      </c>
      <c r="AA252" s="1" t="n">
        <f aca="false">H252</f>
        <v>3.6</v>
      </c>
      <c r="AB252" s="1" t="n">
        <f aca="false">J252</f>
        <v>0</v>
      </c>
      <c r="AC252" s="1" t="n">
        <f aca="false">K252</f>
        <v>0</v>
      </c>
      <c r="AD252" s="1" t="n">
        <f aca="false">L252</f>
        <v>0</v>
      </c>
    </row>
    <row r="253" customFormat="false" ht="15" hidden="false" customHeight="false" outlineLevel="0" collapsed="false">
      <c r="A253" s="5" t="s">
        <v>97</v>
      </c>
      <c r="B253" s="5" t="s">
        <v>33</v>
      </c>
      <c r="C253" s="5" t="s">
        <v>31</v>
      </c>
      <c r="D253" s="5" t="n">
        <v>38361.93</v>
      </c>
      <c r="E253" s="5" t="n">
        <v>6322</v>
      </c>
      <c r="F253" s="5" t="n">
        <v>0.273</v>
      </c>
      <c r="G253" s="5" t="n">
        <v>88.4</v>
      </c>
      <c r="H253" s="5" t="n">
        <v>4</v>
      </c>
      <c r="I253" s="5" t="n">
        <v>647953.78</v>
      </c>
      <c r="J253" s="5" t="n">
        <v>0</v>
      </c>
      <c r="K253" s="5" t="n">
        <v>0</v>
      </c>
      <c r="L253" s="5" t="n">
        <v>0</v>
      </c>
      <c r="P253" s="1" t="n">
        <f aca="false">E253</f>
        <v>6322</v>
      </c>
      <c r="Q253" s="1" t="n">
        <f aca="false">D253</f>
        <v>38361.93</v>
      </c>
      <c r="R253" s="1" t="n">
        <f aca="false">G253</f>
        <v>88.4</v>
      </c>
      <c r="S253" s="1" t="n">
        <f aca="false">J253</f>
        <v>0</v>
      </c>
      <c r="T253" s="1" t="n">
        <f aca="false">K253</f>
        <v>0</v>
      </c>
      <c r="U253" s="1" t="n">
        <f aca="false">L253</f>
        <v>0</v>
      </c>
      <c r="W253" s="1" t="n">
        <f aca="false">E253</f>
        <v>6322</v>
      </c>
      <c r="X253" s="1" t="n">
        <f aca="false">D253</f>
        <v>38361.93</v>
      </c>
      <c r="Y253" s="1" t="n">
        <f aca="false">G253</f>
        <v>88.4</v>
      </c>
      <c r="Z253" s="1" t="n">
        <f aca="false">F253</f>
        <v>0.273</v>
      </c>
      <c r="AA253" s="1" t="n">
        <f aca="false">H253</f>
        <v>4</v>
      </c>
      <c r="AB253" s="1" t="n">
        <f aca="false">J253</f>
        <v>0</v>
      </c>
      <c r="AC253" s="1" t="n">
        <f aca="false">K253</f>
        <v>0</v>
      </c>
      <c r="AD253" s="1" t="n">
        <f aca="false">L253</f>
        <v>0</v>
      </c>
    </row>
    <row r="254" customFormat="false" ht="15" hidden="false" customHeight="false" outlineLevel="0" collapsed="false">
      <c r="A254" s="5" t="s">
        <v>97</v>
      </c>
      <c r="B254" s="5" t="s">
        <v>33</v>
      </c>
      <c r="C254" s="5" t="s">
        <v>31</v>
      </c>
      <c r="D254" s="5" t="n">
        <v>97480.94</v>
      </c>
      <c r="E254" s="5" t="n">
        <v>6840</v>
      </c>
      <c r="F254" s="5" t="n">
        <v>0.087</v>
      </c>
      <c r="G254" s="5" t="n">
        <v>79.2</v>
      </c>
      <c r="H254" s="5" t="n">
        <v>4</v>
      </c>
      <c r="I254" s="5" t="n">
        <v>729440.45</v>
      </c>
      <c r="J254" s="5" t="n">
        <v>0</v>
      </c>
      <c r="K254" s="5" t="n">
        <v>0</v>
      </c>
      <c r="L254" s="5" t="n">
        <v>0</v>
      </c>
      <c r="P254" s="1" t="n">
        <f aca="false">E254</f>
        <v>6840</v>
      </c>
      <c r="Q254" s="1" t="n">
        <f aca="false">D254</f>
        <v>97480.94</v>
      </c>
      <c r="R254" s="1" t="n">
        <f aca="false">G254</f>
        <v>79.2</v>
      </c>
      <c r="S254" s="1" t="n">
        <f aca="false">J254</f>
        <v>0</v>
      </c>
      <c r="T254" s="1" t="n">
        <f aca="false">K254</f>
        <v>0</v>
      </c>
      <c r="U254" s="1" t="n">
        <f aca="false">L254</f>
        <v>0</v>
      </c>
      <c r="W254" s="1" t="n">
        <f aca="false">E254</f>
        <v>6840</v>
      </c>
      <c r="X254" s="1" t="n">
        <f aca="false">D254</f>
        <v>97480.94</v>
      </c>
      <c r="Y254" s="1" t="n">
        <f aca="false">G254</f>
        <v>79.2</v>
      </c>
      <c r="Z254" s="1" t="n">
        <f aca="false">F254</f>
        <v>0.087</v>
      </c>
      <c r="AA254" s="1" t="n">
        <f aca="false">H254</f>
        <v>4</v>
      </c>
      <c r="AB254" s="1" t="n">
        <f aca="false">J254</f>
        <v>0</v>
      </c>
      <c r="AC254" s="1" t="n">
        <f aca="false">K254</f>
        <v>0</v>
      </c>
      <c r="AD254" s="1" t="n">
        <f aca="false">L254</f>
        <v>0</v>
      </c>
    </row>
    <row r="255" customFormat="false" ht="15" hidden="false" customHeight="false" outlineLevel="0" collapsed="false">
      <c r="A255" s="5" t="s">
        <v>98</v>
      </c>
      <c r="B255" s="5" t="s">
        <v>37</v>
      </c>
      <c r="C255" s="5" t="s">
        <v>34</v>
      </c>
      <c r="D255" s="5" t="n">
        <v>81801.8</v>
      </c>
      <c r="E255" s="5" t="n">
        <v>6782</v>
      </c>
      <c r="F255" s="5" t="n">
        <v>0.05</v>
      </c>
      <c r="G255" s="5" t="n">
        <v>99</v>
      </c>
      <c r="H255" s="5" t="n">
        <v>3.7</v>
      </c>
      <c r="I255" s="5" t="n">
        <v>764949</v>
      </c>
      <c r="J255" s="5" t="n">
        <v>0</v>
      </c>
      <c r="K255" s="5" t="n">
        <v>0</v>
      </c>
      <c r="L255" s="5" t="n">
        <v>1</v>
      </c>
      <c r="P255" s="1" t="n">
        <f aca="false">E255</f>
        <v>6782</v>
      </c>
      <c r="Q255" s="1" t="n">
        <f aca="false">D255</f>
        <v>81801.8</v>
      </c>
      <c r="R255" s="1" t="n">
        <f aca="false">G255</f>
        <v>99</v>
      </c>
      <c r="S255" s="1" t="n">
        <f aca="false">J255</f>
        <v>0</v>
      </c>
      <c r="T255" s="1" t="n">
        <f aca="false">K255</f>
        <v>0</v>
      </c>
      <c r="U255" s="1" t="n">
        <f aca="false">L255</f>
        <v>1</v>
      </c>
      <c r="W255" s="1" t="n">
        <f aca="false">E255</f>
        <v>6782</v>
      </c>
      <c r="X255" s="1" t="n">
        <f aca="false">D255</f>
        <v>81801.8</v>
      </c>
      <c r="Y255" s="1" t="n">
        <f aca="false">G255</f>
        <v>99</v>
      </c>
      <c r="Z255" s="1" t="n">
        <f aca="false">F255</f>
        <v>0.05</v>
      </c>
      <c r="AA255" s="1" t="n">
        <f aca="false">H255</f>
        <v>3.7</v>
      </c>
      <c r="AB255" s="1" t="n">
        <f aca="false">J255</f>
        <v>0</v>
      </c>
      <c r="AC255" s="1" t="n">
        <f aca="false">K255</f>
        <v>0</v>
      </c>
      <c r="AD255" s="1" t="n">
        <f aca="false">L255</f>
        <v>1</v>
      </c>
    </row>
    <row r="256" customFormat="false" ht="15" hidden="false" customHeight="false" outlineLevel="0" collapsed="false">
      <c r="A256" s="5" t="s">
        <v>98</v>
      </c>
      <c r="B256" s="5" t="s">
        <v>37</v>
      </c>
      <c r="C256" s="5" t="s">
        <v>34</v>
      </c>
      <c r="D256" s="5" t="n">
        <v>63582.11</v>
      </c>
      <c r="E256" s="5" t="n">
        <v>6856</v>
      </c>
      <c r="F256" s="5" t="n">
        <v>0.074</v>
      </c>
      <c r="G256" s="5" t="n">
        <v>89.5</v>
      </c>
      <c r="H256" s="5" t="n">
        <v>3.2</v>
      </c>
      <c r="I256" s="5" t="n">
        <v>799046.94</v>
      </c>
      <c r="J256" s="5" t="n">
        <v>0</v>
      </c>
      <c r="K256" s="5" t="n">
        <v>0</v>
      </c>
      <c r="L256" s="5" t="n">
        <v>1</v>
      </c>
      <c r="P256" s="1" t="n">
        <f aca="false">E256</f>
        <v>6856</v>
      </c>
      <c r="Q256" s="1" t="n">
        <f aca="false">D256</f>
        <v>63582.11</v>
      </c>
      <c r="R256" s="1" t="n">
        <f aca="false">G256</f>
        <v>89.5</v>
      </c>
      <c r="S256" s="1" t="n">
        <f aca="false">J256</f>
        <v>0</v>
      </c>
      <c r="T256" s="1" t="n">
        <f aca="false">K256</f>
        <v>0</v>
      </c>
      <c r="U256" s="1" t="n">
        <f aca="false">L256</f>
        <v>1</v>
      </c>
      <c r="W256" s="1" t="n">
        <f aca="false">E256</f>
        <v>6856</v>
      </c>
      <c r="X256" s="1" t="n">
        <f aca="false">D256</f>
        <v>63582.11</v>
      </c>
      <c r="Y256" s="1" t="n">
        <f aca="false">G256</f>
        <v>89.5</v>
      </c>
      <c r="Z256" s="1" t="n">
        <f aca="false">F256</f>
        <v>0.074</v>
      </c>
      <c r="AA256" s="1" t="n">
        <f aca="false">H256</f>
        <v>3.2</v>
      </c>
      <c r="AB256" s="1" t="n">
        <f aca="false">J256</f>
        <v>0</v>
      </c>
      <c r="AC256" s="1" t="n">
        <f aca="false">K256</f>
        <v>0</v>
      </c>
      <c r="AD256" s="1" t="n">
        <f aca="false">L256</f>
        <v>1</v>
      </c>
    </row>
    <row r="257" customFormat="false" ht="15" hidden="false" customHeight="false" outlineLevel="0" collapsed="false">
      <c r="A257" s="5" t="s">
        <v>98</v>
      </c>
      <c r="B257" s="5" t="s">
        <v>37</v>
      </c>
      <c r="C257" s="5" t="s">
        <v>34</v>
      </c>
      <c r="D257" s="5" t="n">
        <v>75412.74</v>
      </c>
      <c r="E257" s="5" t="n">
        <v>5641</v>
      </c>
      <c r="F257" s="5" t="n">
        <v>0.059</v>
      </c>
      <c r="G257" s="5" t="n">
        <v>87.9</v>
      </c>
      <c r="H257" s="5" t="n">
        <v>3.6</v>
      </c>
      <c r="I257" s="5" t="n">
        <v>720079.54</v>
      </c>
      <c r="J257" s="5" t="n">
        <v>0</v>
      </c>
      <c r="K257" s="5" t="n">
        <v>0</v>
      </c>
      <c r="L257" s="5" t="n">
        <v>1</v>
      </c>
      <c r="P257" s="1" t="n">
        <f aca="false">E257</f>
        <v>5641</v>
      </c>
      <c r="Q257" s="1" t="n">
        <f aca="false">D257</f>
        <v>75412.74</v>
      </c>
      <c r="R257" s="1" t="n">
        <f aca="false">G257</f>
        <v>87.9</v>
      </c>
      <c r="S257" s="1" t="n">
        <f aca="false">J257</f>
        <v>0</v>
      </c>
      <c r="T257" s="1" t="n">
        <f aca="false">K257</f>
        <v>0</v>
      </c>
      <c r="U257" s="1" t="n">
        <f aca="false">L257</f>
        <v>1</v>
      </c>
      <c r="W257" s="1" t="n">
        <f aca="false">E257</f>
        <v>5641</v>
      </c>
      <c r="X257" s="1" t="n">
        <f aca="false">D257</f>
        <v>75412.74</v>
      </c>
      <c r="Y257" s="1" t="n">
        <f aca="false">G257</f>
        <v>87.9</v>
      </c>
      <c r="Z257" s="1" t="n">
        <f aca="false">F257</f>
        <v>0.059</v>
      </c>
      <c r="AA257" s="1" t="n">
        <f aca="false">H257</f>
        <v>3.6</v>
      </c>
      <c r="AB257" s="1" t="n">
        <f aca="false">J257</f>
        <v>0</v>
      </c>
      <c r="AC257" s="1" t="n">
        <f aca="false">K257</f>
        <v>0</v>
      </c>
      <c r="AD257" s="1" t="n">
        <f aca="false">L257</f>
        <v>1</v>
      </c>
    </row>
    <row r="258" customFormat="false" ht="15" hidden="false" customHeight="false" outlineLevel="0" collapsed="false">
      <c r="A258" s="5" t="s">
        <v>98</v>
      </c>
      <c r="B258" s="5" t="s">
        <v>37</v>
      </c>
      <c r="C258" s="5" t="s">
        <v>34</v>
      </c>
      <c r="D258" s="5" t="n">
        <v>36290.08</v>
      </c>
      <c r="E258" s="5" t="n">
        <v>5787</v>
      </c>
      <c r="F258" s="5" t="n">
        <v>0</v>
      </c>
      <c r="G258" s="5" t="n">
        <v>88.3</v>
      </c>
      <c r="H258" s="5" t="n">
        <v>4.1</v>
      </c>
      <c r="I258" s="5" t="n">
        <v>612390.14</v>
      </c>
      <c r="J258" s="5" t="n">
        <v>0</v>
      </c>
      <c r="K258" s="5" t="n">
        <v>0</v>
      </c>
      <c r="L258" s="5" t="n">
        <v>1</v>
      </c>
      <c r="P258" s="1" t="n">
        <f aca="false">E258</f>
        <v>5787</v>
      </c>
      <c r="Q258" s="1" t="n">
        <f aca="false">D258</f>
        <v>36290.08</v>
      </c>
      <c r="R258" s="1" t="n">
        <f aca="false">G258</f>
        <v>88.3</v>
      </c>
      <c r="S258" s="1" t="n">
        <f aca="false">J258</f>
        <v>0</v>
      </c>
      <c r="T258" s="1" t="n">
        <f aca="false">K258</f>
        <v>0</v>
      </c>
      <c r="U258" s="1" t="n">
        <f aca="false">L258</f>
        <v>1</v>
      </c>
      <c r="W258" s="1" t="n">
        <f aca="false">E258</f>
        <v>5787</v>
      </c>
      <c r="X258" s="1" t="n">
        <f aca="false">D258</f>
        <v>36290.08</v>
      </c>
      <c r="Y258" s="1" t="n">
        <f aca="false">G258</f>
        <v>88.3</v>
      </c>
      <c r="Z258" s="1" t="n">
        <f aca="false">F258</f>
        <v>0</v>
      </c>
      <c r="AA258" s="1" t="n">
        <f aca="false">H258</f>
        <v>4.1</v>
      </c>
      <c r="AB258" s="1" t="n">
        <f aca="false">J258</f>
        <v>0</v>
      </c>
      <c r="AC258" s="1" t="n">
        <f aca="false">K258</f>
        <v>0</v>
      </c>
      <c r="AD258" s="1" t="n">
        <f aca="false">L258</f>
        <v>1</v>
      </c>
    </row>
    <row r="259" customFormat="false" ht="15" hidden="false" customHeight="false" outlineLevel="0" collapsed="false">
      <c r="A259" s="5" t="s">
        <v>99</v>
      </c>
      <c r="B259" s="5" t="s">
        <v>37</v>
      </c>
      <c r="C259" s="5" t="s">
        <v>41</v>
      </c>
      <c r="D259" s="5" t="n">
        <v>65272.58</v>
      </c>
      <c r="E259" s="5" t="n">
        <v>8165</v>
      </c>
      <c r="F259" s="5" t="n">
        <v>0.051</v>
      </c>
      <c r="G259" s="5" t="n">
        <v>87.8</v>
      </c>
      <c r="H259" s="5" t="n">
        <v>4.3</v>
      </c>
      <c r="I259" s="5" t="n">
        <v>840108.12</v>
      </c>
      <c r="J259" s="5" t="n">
        <v>1</v>
      </c>
      <c r="K259" s="5" t="n">
        <v>0</v>
      </c>
      <c r="L259" s="5" t="n">
        <v>0</v>
      </c>
      <c r="P259" s="1" t="n">
        <f aca="false">E259</f>
        <v>8165</v>
      </c>
      <c r="Q259" s="1" t="n">
        <f aca="false">D259</f>
        <v>65272.58</v>
      </c>
      <c r="R259" s="1" t="n">
        <f aca="false">G259</f>
        <v>87.8</v>
      </c>
      <c r="S259" s="1" t="n">
        <f aca="false">J259</f>
        <v>1</v>
      </c>
      <c r="T259" s="1" t="n">
        <f aca="false">K259</f>
        <v>0</v>
      </c>
      <c r="U259" s="1" t="n">
        <f aca="false">L259</f>
        <v>0</v>
      </c>
      <c r="W259" s="1" t="n">
        <f aca="false">E259</f>
        <v>8165</v>
      </c>
      <c r="X259" s="1" t="n">
        <f aca="false">D259</f>
        <v>65272.58</v>
      </c>
      <c r="Y259" s="1" t="n">
        <f aca="false">G259</f>
        <v>87.8</v>
      </c>
      <c r="Z259" s="1" t="n">
        <f aca="false">F259</f>
        <v>0.051</v>
      </c>
      <c r="AA259" s="1" t="n">
        <f aca="false">H259</f>
        <v>4.3</v>
      </c>
      <c r="AB259" s="1" t="n">
        <f aca="false">J259</f>
        <v>1</v>
      </c>
      <c r="AC259" s="1" t="n">
        <f aca="false">K259</f>
        <v>0</v>
      </c>
      <c r="AD259" s="1" t="n">
        <f aca="false">L259</f>
        <v>0</v>
      </c>
    </row>
    <row r="260" customFormat="false" ht="15" hidden="false" customHeight="false" outlineLevel="0" collapsed="false">
      <c r="A260" s="5" t="s">
        <v>99</v>
      </c>
      <c r="B260" s="5" t="s">
        <v>37</v>
      </c>
      <c r="C260" s="5" t="s">
        <v>41</v>
      </c>
      <c r="D260" s="5" t="n">
        <v>28670.43</v>
      </c>
      <c r="E260" s="5" t="n">
        <v>7574</v>
      </c>
      <c r="F260" s="5" t="n">
        <v>0.114</v>
      </c>
      <c r="G260" s="5" t="n">
        <v>82.7</v>
      </c>
      <c r="H260" s="5" t="n">
        <v>4.6</v>
      </c>
      <c r="I260" s="5" t="n">
        <v>697888.09</v>
      </c>
      <c r="J260" s="5" t="n">
        <v>1</v>
      </c>
      <c r="K260" s="5" t="n">
        <v>0</v>
      </c>
      <c r="L260" s="5" t="n">
        <v>0</v>
      </c>
      <c r="P260" s="1" t="n">
        <f aca="false">E260</f>
        <v>7574</v>
      </c>
      <c r="Q260" s="1" t="n">
        <f aca="false">D260</f>
        <v>28670.43</v>
      </c>
      <c r="R260" s="1" t="n">
        <f aca="false">G260</f>
        <v>82.7</v>
      </c>
      <c r="S260" s="1" t="n">
        <f aca="false">J260</f>
        <v>1</v>
      </c>
      <c r="T260" s="1" t="n">
        <f aca="false">K260</f>
        <v>0</v>
      </c>
      <c r="U260" s="1" t="n">
        <f aca="false">L260</f>
        <v>0</v>
      </c>
      <c r="W260" s="1" t="n">
        <f aca="false">E260</f>
        <v>7574</v>
      </c>
      <c r="X260" s="1" t="n">
        <f aca="false">D260</f>
        <v>28670.43</v>
      </c>
      <c r="Y260" s="1" t="n">
        <f aca="false">G260</f>
        <v>82.7</v>
      </c>
      <c r="Z260" s="1" t="n">
        <f aca="false">F260</f>
        <v>0.114</v>
      </c>
      <c r="AA260" s="1" t="n">
        <f aca="false">H260</f>
        <v>4.6</v>
      </c>
      <c r="AB260" s="1" t="n">
        <f aca="false">J260</f>
        <v>1</v>
      </c>
      <c r="AC260" s="1" t="n">
        <f aca="false">K260</f>
        <v>0</v>
      </c>
      <c r="AD260" s="1" t="n">
        <f aca="false">L260</f>
        <v>0</v>
      </c>
    </row>
    <row r="261" customFormat="false" ht="15" hidden="false" customHeight="false" outlineLevel="0" collapsed="false">
      <c r="A261" s="5" t="s">
        <v>99</v>
      </c>
      <c r="B261" s="5" t="s">
        <v>37</v>
      </c>
      <c r="C261" s="5" t="s">
        <v>41</v>
      </c>
      <c r="D261" s="5" t="n">
        <v>44189.34</v>
      </c>
      <c r="E261" s="5" t="n">
        <v>8634</v>
      </c>
      <c r="F261" s="5" t="n">
        <v>0.143</v>
      </c>
      <c r="G261" s="5" t="n">
        <v>87.5</v>
      </c>
      <c r="H261" s="5" t="n">
        <v>4.4</v>
      </c>
      <c r="I261" s="5" t="n">
        <v>746115.59</v>
      </c>
      <c r="J261" s="5" t="n">
        <v>1</v>
      </c>
      <c r="K261" s="5" t="n">
        <v>0</v>
      </c>
      <c r="L261" s="5" t="n">
        <v>0</v>
      </c>
      <c r="P261" s="1" t="n">
        <f aca="false">E261</f>
        <v>8634</v>
      </c>
      <c r="Q261" s="1" t="n">
        <f aca="false">D261</f>
        <v>44189.34</v>
      </c>
      <c r="R261" s="1" t="n">
        <f aca="false">G261</f>
        <v>87.5</v>
      </c>
      <c r="S261" s="1" t="n">
        <f aca="false">J261</f>
        <v>1</v>
      </c>
      <c r="T261" s="1" t="n">
        <f aca="false">K261</f>
        <v>0</v>
      </c>
      <c r="U261" s="1" t="n">
        <f aca="false">L261</f>
        <v>0</v>
      </c>
      <c r="W261" s="1" t="n">
        <f aca="false">E261</f>
        <v>8634</v>
      </c>
      <c r="X261" s="1" t="n">
        <f aca="false">D261</f>
        <v>44189.34</v>
      </c>
      <c r="Y261" s="1" t="n">
        <f aca="false">G261</f>
        <v>87.5</v>
      </c>
      <c r="Z261" s="1" t="n">
        <f aca="false">F261</f>
        <v>0.143</v>
      </c>
      <c r="AA261" s="1" t="n">
        <f aca="false">H261</f>
        <v>4.4</v>
      </c>
      <c r="AB261" s="1" t="n">
        <f aca="false">J261</f>
        <v>1</v>
      </c>
      <c r="AC261" s="1" t="n">
        <f aca="false">K261</f>
        <v>0</v>
      </c>
      <c r="AD261" s="1" t="n">
        <f aca="false">L261</f>
        <v>0</v>
      </c>
    </row>
    <row r="262" customFormat="false" ht="15" hidden="false" customHeight="false" outlineLevel="0" collapsed="false">
      <c r="A262" s="5" t="s">
        <v>99</v>
      </c>
      <c r="B262" s="5" t="s">
        <v>37</v>
      </c>
      <c r="C262" s="5" t="s">
        <v>41</v>
      </c>
      <c r="D262" s="5" t="n">
        <v>38397.82</v>
      </c>
      <c r="E262" s="5" t="n">
        <v>7836</v>
      </c>
      <c r="F262" s="5" t="n">
        <v>0.007</v>
      </c>
      <c r="G262" s="5" t="n">
        <v>92.2</v>
      </c>
      <c r="H262" s="5" t="n">
        <v>3.6</v>
      </c>
      <c r="I262" s="5" t="n">
        <v>776110.32</v>
      </c>
      <c r="J262" s="5" t="n">
        <v>1</v>
      </c>
      <c r="K262" s="5" t="n">
        <v>0</v>
      </c>
      <c r="L262" s="5" t="n">
        <v>0</v>
      </c>
      <c r="P262" s="1" t="n">
        <f aca="false">E262</f>
        <v>7836</v>
      </c>
      <c r="Q262" s="1" t="n">
        <f aca="false">D262</f>
        <v>38397.82</v>
      </c>
      <c r="R262" s="1" t="n">
        <f aca="false">G262</f>
        <v>92.2</v>
      </c>
      <c r="S262" s="1" t="n">
        <f aca="false">J262</f>
        <v>1</v>
      </c>
      <c r="T262" s="1" t="n">
        <f aca="false">K262</f>
        <v>0</v>
      </c>
      <c r="U262" s="1" t="n">
        <f aca="false">L262</f>
        <v>0</v>
      </c>
      <c r="W262" s="1" t="n">
        <f aca="false">E262</f>
        <v>7836</v>
      </c>
      <c r="X262" s="1" t="n">
        <f aca="false">D262</f>
        <v>38397.82</v>
      </c>
      <c r="Y262" s="1" t="n">
        <f aca="false">G262</f>
        <v>92.2</v>
      </c>
      <c r="Z262" s="1" t="n">
        <f aca="false">F262</f>
        <v>0.007</v>
      </c>
      <c r="AA262" s="1" t="n">
        <f aca="false">H262</f>
        <v>3.6</v>
      </c>
      <c r="AB262" s="1" t="n">
        <f aca="false">J262</f>
        <v>1</v>
      </c>
      <c r="AC262" s="1" t="n">
        <f aca="false">K262</f>
        <v>0</v>
      </c>
      <c r="AD262" s="1" t="n">
        <f aca="false">L262</f>
        <v>0</v>
      </c>
    </row>
    <row r="263" customFormat="false" ht="15" hidden="false" customHeight="false" outlineLevel="0" collapsed="false">
      <c r="A263" s="5" t="s">
        <v>100</v>
      </c>
      <c r="B263" s="5" t="s">
        <v>40</v>
      </c>
      <c r="C263" s="5" t="s">
        <v>31</v>
      </c>
      <c r="D263" s="5" t="n">
        <v>14519.37</v>
      </c>
      <c r="E263" s="5" t="n">
        <v>3047</v>
      </c>
      <c r="F263" s="5" t="n">
        <v>0.135</v>
      </c>
      <c r="G263" s="5" t="n">
        <v>90.3</v>
      </c>
      <c r="H263" s="5" t="n">
        <v>4.2</v>
      </c>
      <c r="I263" s="5" t="n">
        <v>528852.62</v>
      </c>
      <c r="J263" s="5" t="n">
        <v>0</v>
      </c>
      <c r="K263" s="5" t="n">
        <v>0</v>
      </c>
      <c r="L263" s="5" t="n">
        <v>0</v>
      </c>
      <c r="P263" s="1" t="n">
        <f aca="false">E263</f>
        <v>3047</v>
      </c>
      <c r="Q263" s="1" t="n">
        <f aca="false">D263</f>
        <v>14519.37</v>
      </c>
      <c r="R263" s="1" t="n">
        <f aca="false">G263</f>
        <v>90.3</v>
      </c>
      <c r="S263" s="1" t="n">
        <f aca="false">J263</f>
        <v>0</v>
      </c>
      <c r="T263" s="1" t="n">
        <f aca="false">K263</f>
        <v>0</v>
      </c>
      <c r="U263" s="1" t="n">
        <f aca="false">L263</f>
        <v>0</v>
      </c>
      <c r="W263" s="1" t="n">
        <f aca="false">E263</f>
        <v>3047</v>
      </c>
      <c r="X263" s="1" t="n">
        <f aca="false">D263</f>
        <v>14519.37</v>
      </c>
      <c r="Y263" s="1" t="n">
        <f aca="false">G263</f>
        <v>90.3</v>
      </c>
      <c r="Z263" s="1" t="n">
        <f aca="false">F263</f>
        <v>0.135</v>
      </c>
      <c r="AA263" s="1" t="n">
        <f aca="false">H263</f>
        <v>4.2</v>
      </c>
      <c r="AB263" s="1" t="n">
        <f aca="false">J263</f>
        <v>0</v>
      </c>
      <c r="AC263" s="1" t="n">
        <f aca="false">K263</f>
        <v>0</v>
      </c>
      <c r="AD263" s="1" t="n">
        <f aca="false">L263</f>
        <v>0</v>
      </c>
    </row>
    <row r="264" customFormat="false" ht="15" hidden="false" customHeight="false" outlineLevel="0" collapsed="false">
      <c r="A264" s="5" t="s">
        <v>100</v>
      </c>
      <c r="B264" s="5" t="s">
        <v>40</v>
      </c>
      <c r="C264" s="5" t="s">
        <v>31</v>
      </c>
      <c r="D264" s="5" t="n">
        <v>43288.2</v>
      </c>
      <c r="E264" s="5" t="n">
        <v>4783</v>
      </c>
      <c r="F264" s="5" t="n">
        <v>0.169</v>
      </c>
      <c r="G264" s="5" t="n">
        <v>87.3</v>
      </c>
      <c r="H264" s="5" t="n">
        <v>4.2</v>
      </c>
      <c r="I264" s="5" t="n">
        <v>605751.33</v>
      </c>
      <c r="J264" s="5" t="n">
        <v>0</v>
      </c>
      <c r="K264" s="5" t="n">
        <v>0</v>
      </c>
      <c r="L264" s="5" t="n">
        <v>0</v>
      </c>
      <c r="P264" s="1" t="n">
        <f aca="false">E264</f>
        <v>4783</v>
      </c>
      <c r="Q264" s="1" t="n">
        <f aca="false">D264</f>
        <v>43288.2</v>
      </c>
      <c r="R264" s="1" t="n">
        <f aca="false">G264</f>
        <v>87.3</v>
      </c>
      <c r="S264" s="1" t="n">
        <f aca="false">J264</f>
        <v>0</v>
      </c>
      <c r="T264" s="1" t="n">
        <f aca="false">K264</f>
        <v>0</v>
      </c>
      <c r="U264" s="1" t="n">
        <f aca="false">L264</f>
        <v>0</v>
      </c>
      <c r="W264" s="1" t="n">
        <f aca="false">E264</f>
        <v>4783</v>
      </c>
      <c r="X264" s="1" t="n">
        <f aca="false">D264</f>
        <v>43288.2</v>
      </c>
      <c r="Y264" s="1" t="n">
        <f aca="false">G264</f>
        <v>87.3</v>
      </c>
      <c r="Z264" s="1" t="n">
        <f aca="false">F264</f>
        <v>0.169</v>
      </c>
      <c r="AA264" s="1" t="n">
        <f aca="false">H264</f>
        <v>4.2</v>
      </c>
      <c r="AB264" s="1" t="n">
        <f aca="false">J264</f>
        <v>0</v>
      </c>
      <c r="AC264" s="1" t="n">
        <f aca="false">K264</f>
        <v>0</v>
      </c>
      <c r="AD264" s="1" t="n">
        <f aca="false">L264</f>
        <v>0</v>
      </c>
    </row>
    <row r="265" customFormat="false" ht="15" hidden="false" customHeight="false" outlineLevel="0" collapsed="false">
      <c r="A265" s="5" t="s">
        <v>100</v>
      </c>
      <c r="B265" s="5" t="s">
        <v>40</v>
      </c>
      <c r="C265" s="5" t="s">
        <v>31</v>
      </c>
      <c r="D265" s="5" t="n">
        <v>51450.55</v>
      </c>
      <c r="E265" s="5" t="n">
        <v>4902</v>
      </c>
      <c r="F265" s="5" t="n">
        <v>0.086</v>
      </c>
      <c r="G265" s="5" t="n">
        <v>83.7</v>
      </c>
      <c r="H265" s="5" t="n">
        <v>4.2</v>
      </c>
      <c r="I265" s="5" t="n">
        <v>677640.65</v>
      </c>
      <c r="J265" s="5" t="n">
        <v>0</v>
      </c>
      <c r="K265" s="5" t="n">
        <v>0</v>
      </c>
      <c r="L265" s="5" t="n">
        <v>0</v>
      </c>
      <c r="P265" s="1" t="n">
        <f aca="false">E265</f>
        <v>4902</v>
      </c>
      <c r="Q265" s="1" t="n">
        <f aca="false">D265</f>
        <v>51450.55</v>
      </c>
      <c r="R265" s="1" t="n">
        <f aca="false">G265</f>
        <v>83.7</v>
      </c>
      <c r="S265" s="1" t="n">
        <f aca="false">J265</f>
        <v>0</v>
      </c>
      <c r="T265" s="1" t="n">
        <f aca="false">K265</f>
        <v>0</v>
      </c>
      <c r="U265" s="1" t="n">
        <f aca="false">L265</f>
        <v>0</v>
      </c>
      <c r="W265" s="1" t="n">
        <f aca="false">E265</f>
        <v>4902</v>
      </c>
      <c r="X265" s="1" t="n">
        <f aca="false">D265</f>
        <v>51450.55</v>
      </c>
      <c r="Y265" s="1" t="n">
        <f aca="false">G265</f>
        <v>83.7</v>
      </c>
      <c r="Z265" s="1" t="n">
        <f aca="false">F265</f>
        <v>0.086</v>
      </c>
      <c r="AA265" s="1" t="n">
        <f aca="false">H265</f>
        <v>4.2</v>
      </c>
      <c r="AB265" s="1" t="n">
        <f aca="false">J265</f>
        <v>0</v>
      </c>
      <c r="AC265" s="1" t="n">
        <f aca="false">K265</f>
        <v>0</v>
      </c>
      <c r="AD265" s="1" t="n">
        <f aca="false">L265</f>
        <v>0</v>
      </c>
    </row>
    <row r="266" customFormat="false" ht="15" hidden="false" customHeight="false" outlineLevel="0" collapsed="false">
      <c r="A266" s="5" t="s">
        <v>100</v>
      </c>
      <c r="B266" s="5" t="s">
        <v>40</v>
      </c>
      <c r="C266" s="5" t="s">
        <v>31</v>
      </c>
      <c r="D266" s="5" t="n">
        <v>58688.26</v>
      </c>
      <c r="E266" s="5" t="n">
        <v>4022</v>
      </c>
      <c r="F266" s="5" t="n">
        <v>0.217</v>
      </c>
      <c r="G266" s="5" t="n">
        <v>93.8</v>
      </c>
      <c r="H266" s="5" t="n">
        <v>3.7</v>
      </c>
      <c r="I266" s="5" t="n">
        <v>636613.23</v>
      </c>
      <c r="J266" s="5" t="n">
        <v>0</v>
      </c>
      <c r="K266" s="5" t="n">
        <v>0</v>
      </c>
      <c r="L266" s="5" t="n">
        <v>0</v>
      </c>
      <c r="P266" s="1" t="n">
        <f aca="false">E266</f>
        <v>4022</v>
      </c>
      <c r="Q266" s="1" t="n">
        <f aca="false">D266</f>
        <v>58688.26</v>
      </c>
      <c r="R266" s="1" t="n">
        <f aca="false">G266</f>
        <v>93.8</v>
      </c>
      <c r="S266" s="1" t="n">
        <f aca="false">J266</f>
        <v>0</v>
      </c>
      <c r="T266" s="1" t="n">
        <f aca="false">K266</f>
        <v>0</v>
      </c>
      <c r="U266" s="1" t="n">
        <f aca="false">L266</f>
        <v>0</v>
      </c>
      <c r="W266" s="1" t="n">
        <f aca="false">E266</f>
        <v>4022</v>
      </c>
      <c r="X266" s="1" t="n">
        <f aca="false">D266</f>
        <v>58688.26</v>
      </c>
      <c r="Y266" s="1" t="n">
        <f aca="false">G266</f>
        <v>93.8</v>
      </c>
      <c r="Z266" s="1" t="n">
        <f aca="false">F266</f>
        <v>0.217</v>
      </c>
      <c r="AA266" s="1" t="n">
        <f aca="false">H266</f>
        <v>3.7</v>
      </c>
      <c r="AB266" s="1" t="n">
        <f aca="false">J266</f>
        <v>0</v>
      </c>
      <c r="AC266" s="1" t="n">
        <f aca="false">K266</f>
        <v>0</v>
      </c>
      <c r="AD266" s="1" t="n">
        <f aca="false">L266</f>
        <v>0</v>
      </c>
    </row>
    <row r="267" customFormat="false" ht="15" hidden="false" customHeight="false" outlineLevel="0" collapsed="false">
      <c r="A267" s="5" t="s">
        <v>101</v>
      </c>
      <c r="B267" s="5" t="s">
        <v>28</v>
      </c>
      <c r="C267" s="5" t="s">
        <v>31</v>
      </c>
      <c r="D267" s="5" t="n">
        <v>58981.91</v>
      </c>
      <c r="E267" s="5" t="n">
        <v>7324</v>
      </c>
      <c r="F267" s="5" t="n">
        <v>0.094</v>
      </c>
      <c r="G267" s="5" t="n">
        <v>95.8</v>
      </c>
      <c r="H267" s="5" t="n">
        <v>3.5</v>
      </c>
      <c r="I267" s="5" t="n">
        <v>708985.19</v>
      </c>
      <c r="J267" s="5" t="n">
        <v>0</v>
      </c>
      <c r="K267" s="5" t="n">
        <v>0</v>
      </c>
      <c r="L267" s="5" t="n">
        <v>0</v>
      </c>
      <c r="P267" s="1" t="n">
        <f aca="false">E267</f>
        <v>7324</v>
      </c>
      <c r="Q267" s="1" t="n">
        <f aca="false">D267</f>
        <v>58981.91</v>
      </c>
      <c r="R267" s="1" t="n">
        <f aca="false">G267</f>
        <v>95.8</v>
      </c>
      <c r="S267" s="1" t="n">
        <f aca="false">J267</f>
        <v>0</v>
      </c>
      <c r="T267" s="1" t="n">
        <f aca="false">K267</f>
        <v>0</v>
      </c>
      <c r="U267" s="1" t="n">
        <f aca="false">L267</f>
        <v>0</v>
      </c>
      <c r="W267" s="1" t="n">
        <f aca="false">E267</f>
        <v>7324</v>
      </c>
      <c r="X267" s="1" t="n">
        <f aca="false">D267</f>
        <v>58981.91</v>
      </c>
      <c r="Y267" s="1" t="n">
        <f aca="false">G267</f>
        <v>95.8</v>
      </c>
      <c r="Z267" s="1" t="n">
        <f aca="false">F267</f>
        <v>0.094</v>
      </c>
      <c r="AA267" s="1" t="n">
        <f aca="false">H267</f>
        <v>3.5</v>
      </c>
      <c r="AB267" s="1" t="n">
        <f aca="false">J267</f>
        <v>0</v>
      </c>
      <c r="AC267" s="1" t="n">
        <f aca="false">K267</f>
        <v>0</v>
      </c>
      <c r="AD267" s="1" t="n">
        <f aca="false">L267</f>
        <v>0</v>
      </c>
    </row>
    <row r="268" customFormat="false" ht="15" hidden="false" customHeight="false" outlineLevel="0" collapsed="false">
      <c r="A268" s="5" t="s">
        <v>101</v>
      </c>
      <c r="B268" s="5" t="s">
        <v>28</v>
      </c>
      <c r="C268" s="5" t="s">
        <v>31</v>
      </c>
      <c r="D268" s="5" t="n">
        <v>73454.54</v>
      </c>
      <c r="E268" s="5" t="n">
        <v>8129</v>
      </c>
      <c r="F268" s="5" t="n">
        <v>0.211</v>
      </c>
      <c r="G268" s="5" t="n">
        <v>85.2</v>
      </c>
      <c r="H268" s="5" t="n">
        <v>3.7</v>
      </c>
      <c r="I268" s="5" t="n">
        <v>767792.94</v>
      </c>
      <c r="J268" s="5" t="n">
        <v>0</v>
      </c>
      <c r="K268" s="5" t="n">
        <v>0</v>
      </c>
      <c r="L268" s="5" t="n">
        <v>0</v>
      </c>
      <c r="P268" s="1" t="n">
        <f aca="false">E268</f>
        <v>8129</v>
      </c>
      <c r="Q268" s="1" t="n">
        <f aca="false">D268</f>
        <v>73454.54</v>
      </c>
      <c r="R268" s="1" t="n">
        <f aca="false">G268</f>
        <v>85.2</v>
      </c>
      <c r="S268" s="1" t="n">
        <f aca="false">J268</f>
        <v>0</v>
      </c>
      <c r="T268" s="1" t="n">
        <f aca="false">K268</f>
        <v>0</v>
      </c>
      <c r="U268" s="1" t="n">
        <f aca="false">L268</f>
        <v>0</v>
      </c>
      <c r="W268" s="1" t="n">
        <f aca="false">E268</f>
        <v>8129</v>
      </c>
      <c r="X268" s="1" t="n">
        <f aca="false">D268</f>
        <v>73454.54</v>
      </c>
      <c r="Y268" s="1" t="n">
        <f aca="false">G268</f>
        <v>85.2</v>
      </c>
      <c r="Z268" s="1" t="n">
        <f aca="false">F268</f>
        <v>0.211</v>
      </c>
      <c r="AA268" s="1" t="n">
        <f aca="false">H268</f>
        <v>3.7</v>
      </c>
      <c r="AB268" s="1" t="n">
        <f aca="false">J268</f>
        <v>0</v>
      </c>
      <c r="AC268" s="1" t="n">
        <f aca="false">K268</f>
        <v>0</v>
      </c>
      <c r="AD268" s="1" t="n">
        <f aca="false">L268</f>
        <v>0</v>
      </c>
    </row>
    <row r="269" customFormat="false" ht="15" hidden="false" customHeight="false" outlineLevel="0" collapsed="false">
      <c r="A269" s="5" t="s">
        <v>101</v>
      </c>
      <c r="B269" s="5" t="s">
        <v>28</v>
      </c>
      <c r="C269" s="5" t="s">
        <v>31</v>
      </c>
      <c r="D269" s="5" t="n">
        <v>56602.39</v>
      </c>
      <c r="E269" s="5" t="n">
        <v>7969</v>
      </c>
      <c r="F269" s="5" t="n">
        <v>0.17</v>
      </c>
      <c r="G269" s="5" t="n">
        <v>88.3</v>
      </c>
      <c r="H269" s="5" t="n">
        <v>3.7</v>
      </c>
      <c r="I269" s="5" t="n">
        <v>745580.51</v>
      </c>
      <c r="J269" s="5" t="n">
        <v>0</v>
      </c>
      <c r="K269" s="5" t="n">
        <v>0</v>
      </c>
      <c r="L269" s="5" t="n">
        <v>0</v>
      </c>
      <c r="P269" s="1" t="n">
        <f aca="false">E269</f>
        <v>7969</v>
      </c>
      <c r="Q269" s="1" t="n">
        <f aca="false">D269</f>
        <v>56602.39</v>
      </c>
      <c r="R269" s="1" t="n">
        <f aca="false">G269</f>
        <v>88.3</v>
      </c>
      <c r="S269" s="1" t="n">
        <f aca="false">J269</f>
        <v>0</v>
      </c>
      <c r="T269" s="1" t="n">
        <f aca="false">K269</f>
        <v>0</v>
      </c>
      <c r="U269" s="1" t="n">
        <f aca="false">L269</f>
        <v>0</v>
      </c>
      <c r="W269" s="1" t="n">
        <f aca="false">E269</f>
        <v>7969</v>
      </c>
      <c r="X269" s="1" t="n">
        <f aca="false">D269</f>
        <v>56602.39</v>
      </c>
      <c r="Y269" s="1" t="n">
        <f aca="false">G269</f>
        <v>88.3</v>
      </c>
      <c r="Z269" s="1" t="n">
        <f aca="false">F269</f>
        <v>0.17</v>
      </c>
      <c r="AA269" s="1" t="n">
        <f aca="false">H269</f>
        <v>3.7</v>
      </c>
      <c r="AB269" s="1" t="n">
        <f aca="false">J269</f>
        <v>0</v>
      </c>
      <c r="AC269" s="1" t="n">
        <f aca="false">K269</f>
        <v>0</v>
      </c>
      <c r="AD269" s="1" t="n">
        <f aca="false">L269</f>
        <v>0</v>
      </c>
    </row>
    <row r="270" customFormat="false" ht="15" hidden="false" customHeight="false" outlineLevel="0" collapsed="false">
      <c r="A270" s="5" t="s">
        <v>101</v>
      </c>
      <c r="B270" s="5" t="s">
        <v>28</v>
      </c>
      <c r="C270" s="5" t="s">
        <v>31</v>
      </c>
      <c r="D270" s="5" t="n">
        <v>67722.29</v>
      </c>
      <c r="E270" s="5" t="n">
        <v>7240</v>
      </c>
      <c r="F270" s="5" t="n">
        <v>0.026</v>
      </c>
      <c r="G270" s="5" t="n">
        <v>92.9</v>
      </c>
      <c r="H270" s="5" t="n">
        <v>3.5</v>
      </c>
      <c r="I270" s="5" t="n">
        <v>762328.31</v>
      </c>
      <c r="J270" s="5" t="n">
        <v>0</v>
      </c>
      <c r="K270" s="5" t="n">
        <v>0</v>
      </c>
      <c r="L270" s="5" t="n">
        <v>0</v>
      </c>
      <c r="P270" s="1" t="n">
        <f aca="false">E270</f>
        <v>7240</v>
      </c>
      <c r="Q270" s="1" t="n">
        <f aca="false">D270</f>
        <v>67722.29</v>
      </c>
      <c r="R270" s="1" t="n">
        <f aca="false">G270</f>
        <v>92.9</v>
      </c>
      <c r="S270" s="1" t="n">
        <f aca="false">J270</f>
        <v>0</v>
      </c>
      <c r="T270" s="1" t="n">
        <f aca="false">K270</f>
        <v>0</v>
      </c>
      <c r="U270" s="1" t="n">
        <f aca="false">L270</f>
        <v>0</v>
      </c>
      <c r="W270" s="1" t="n">
        <f aca="false">E270</f>
        <v>7240</v>
      </c>
      <c r="X270" s="1" t="n">
        <f aca="false">D270</f>
        <v>67722.29</v>
      </c>
      <c r="Y270" s="1" t="n">
        <f aca="false">G270</f>
        <v>92.9</v>
      </c>
      <c r="Z270" s="1" t="n">
        <f aca="false">F270</f>
        <v>0.026</v>
      </c>
      <c r="AA270" s="1" t="n">
        <f aca="false">H270</f>
        <v>3.5</v>
      </c>
      <c r="AB270" s="1" t="n">
        <f aca="false">J270</f>
        <v>0</v>
      </c>
      <c r="AC270" s="1" t="n">
        <f aca="false">K270</f>
        <v>0</v>
      </c>
      <c r="AD270" s="1" t="n">
        <f aca="false">L270</f>
        <v>0</v>
      </c>
    </row>
    <row r="271" customFormat="false" ht="15" hidden="false" customHeight="false" outlineLevel="0" collapsed="false">
      <c r="A271" s="5" t="s">
        <v>102</v>
      </c>
      <c r="B271" s="5" t="s">
        <v>28</v>
      </c>
      <c r="C271" s="5" t="s">
        <v>41</v>
      </c>
      <c r="D271" s="5" t="n">
        <v>48752.92</v>
      </c>
      <c r="E271" s="5" t="n">
        <v>8052</v>
      </c>
      <c r="F271" s="5" t="n">
        <v>0.106</v>
      </c>
      <c r="G271" s="5" t="n">
        <v>94.9</v>
      </c>
      <c r="H271" s="5" t="n">
        <v>3.6</v>
      </c>
      <c r="I271" s="5" t="n">
        <v>660633.99</v>
      </c>
      <c r="J271" s="5" t="n">
        <v>1</v>
      </c>
      <c r="K271" s="5" t="n">
        <v>0</v>
      </c>
      <c r="L271" s="5" t="n">
        <v>0</v>
      </c>
      <c r="P271" s="1" t="n">
        <f aca="false">E271</f>
        <v>8052</v>
      </c>
      <c r="Q271" s="1" t="n">
        <f aca="false">D271</f>
        <v>48752.92</v>
      </c>
      <c r="R271" s="1" t="n">
        <f aca="false">G271</f>
        <v>94.9</v>
      </c>
      <c r="S271" s="1" t="n">
        <f aca="false">J271</f>
        <v>1</v>
      </c>
      <c r="T271" s="1" t="n">
        <f aca="false">K271</f>
        <v>0</v>
      </c>
      <c r="U271" s="1" t="n">
        <f aca="false">L271</f>
        <v>0</v>
      </c>
      <c r="W271" s="1" t="n">
        <f aca="false">E271</f>
        <v>8052</v>
      </c>
      <c r="X271" s="1" t="n">
        <f aca="false">D271</f>
        <v>48752.92</v>
      </c>
      <c r="Y271" s="1" t="n">
        <f aca="false">G271</f>
        <v>94.9</v>
      </c>
      <c r="Z271" s="1" t="n">
        <f aca="false">F271</f>
        <v>0.106</v>
      </c>
      <c r="AA271" s="1" t="n">
        <f aca="false">H271</f>
        <v>3.6</v>
      </c>
      <c r="AB271" s="1" t="n">
        <f aca="false">J271</f>
        <v>1</v>
      </c>
      <c r="AC271" s="1" t="n">
        <f aca="false">K271</f>
        <v>0</v>
      </c>
      <c r="AD271" s="1" t="n">
        <f aca="false">L271</f>
        <v>0</v>
      </c>
    </row>
    <row r="272" customFormat="false" ht="15" hidden="false" customHeight="false" outlineLevel="0" collapsed="false">
      <c r="A272" s="5" t="s">
        <v>102</v>
      </c>
      <c r="B272" s="5" t="s">
        <v>28</v>
      </c>
      <c r="C272" s="5" t="s">
        <v>41</v>
      </c>
      <c r="D272" s="5" t="n">
        <v>23914.97</v>
      </c>
      <c r="E272" s="5" t="n">
        <v>8018</v>
      </c>
      <c r="F272" s="5" t="n">
        <v>0.139</v>
      </c>
      <c r="G272" s="5" t="n">
        <v>89</v>
      </c>
      <c r="H272" s="5" t="n">
        <v>3.5</v>
      </c>
      <c r="I272" s="5" t="n">
        <v>739374.56</v>
      </c>
      <c r="J272" s="5" t="n">
        <v>1</v>
      </c>
      <c r="K272" s="5" t="n">
        <v>0</v>
      </c>
      <c r="L272" s="5" t="n">
        <v>0</v>
      </c>
      <c r="P272" s="1" t="n">
        <f aca="false">E272</f>
        <v>8018</v>
      </c>
      <c r="Q272" s="1" t="n">
        <f aca="false">D272</f>
        <v>23914.97</v>
      </c>
      <c r="R272" s="1" t="n">
        <f aca="false">G272</f>
        <v>89</v>
      </c>
      <c r="S272" s="1" t="n">
        <f aca="false">J272</f>
        <v>1</v>
      </c>
      <c r="T272" s="1" t="n">
        <f aca="false">K272</f>
        <v>0</v>
      </c>
      <c r="U272" s="1" t="n">
        <f aca="false">L272</f>
        <v>0</v>
      </c>
      <c r="W272" s="1" t="n">
        <f aca="false">E272</f>
        <v>8018</v>
      </c>
      <c r="X272" s="1" t="n">
        <f aca="false">D272</f>
        <v>23914.97</v>
      </c>
      <c r="Y272" s="1" t="n">
        <f aca="false">G272</f>
        <v>89</v>
      </c>
      <c r="Z272" s="1" t="n">
        <f aca="false">F272</f>
        <v>0.139</v>
      </c>
      <c r="AA272" s="1" t="n">
        <f aca="false">H272</f>
        <v>3.5</v>
      </c>
      <c r="AB272" s="1" t="n">
        <f aca="false">J272</f>
        <v>1</v>
      </c>
      <c r="AC272" s="1" t="n">
        <f aca="false">K272</f>
        <v>0</v>
      </c>
      <c r="AD272" s="1" t="n">
        <f aca="false">L272</f>
        <v>0</v>
      </c>
    </row>
    <row r="273" customFormat="false" ht="15" hidden="false" customHeight="false" outlineLevel="0" collapsed="false">
      <c r="A273" s="5" t="s">
        <v>102</v>
      </c>
      <c r="B273" s="5" t="s">
        <v>28</v>
      </c>
      <c r="C273" s="5" t="s">
        <v>41</v>
      </c>
      <c r="D273" s="5" t="n">
        <v>61995.3</v>
      </c>
      <c r="E273" s="5" t="n">
        <v>10192</v>
      </c>
      <c r="F273" s="5" t="n">
        <v>0.198</v>
      </c>
      <c r="G273" s="5" t="n">
        <v>87.6</v>
      </c>
      <c r="H273" s="5" t="n">
        <v>3.8</v>
      </c>
      <c r="I273" s="5" t="n">
        <v>799756.46</v>
      </c>
      <c r="J273" s="5" t="n">
        <v>1</v>
      </c>
      <c r="K273" s="5" t="n">
        <v>0</v>
      </c>
      <c r="L273" s="5" t="n">
        <v>0</v>
      </c>
      <c r="P273" s="1" t="n">
        <f aca="false">E273</f>
        <v>10192</v>
      </c>
      <c r="Q273" s="1" t="n">
        <f aca="false">D273</f>
        <v>61995.3</v>
      </c>
      <c r="R273" s="1" t="n">
        <f aca="false">G273</f>
        <v>87.6</v>
      </c>
      <c r="S273" s="1" t="n">
        <f aca="false">J273</f>
        <v>1</v>
      </c>
      <c r="T273" s="1" t="n">
        <f aca="false">K273</f>
        <v>0</v>
      </c>
      <c r="U273" s="1" t="n">
        <f aca="false">L273</f>
        <v>0</v>
      </c>
      <c r="W273" s="1" t="n">
        <f aca="false">E273</f>
        <v>10192</v>
      </c>
      <c r="X273" s="1" t="n">
        <f aca="false">D273</f>
        <v>61995.3</v>
      </c>
      <c r="Y273" s="1" t="n">
        <f aca="false">G273</f>
        <v>87.6</v>
      </c>
      <c r="Z273" s="1" t="n">
        <f aca="false">F273</f>
        <v>0.198</v>
      </c>
      <c r="AA273" s="1" t="n">
        <f aca="false">H273</f>
        <v>3.8</v>
      </c>
      <c r="AB273" s="1" t="n">
        <f aca="false">J273</f>
        <v>1</v>
      </c>
      <c r="AC273" s="1" t="n">
        <f aca="false">K273</f>
        <v>0</v>
      </c>
      <c r="AD273" s="1" t="n">
        <f aca="false">L273</f>
        <v>0</v>
      </c>
    </row>
    <row r="274" customFormat="false" ht="15" hidden="false" customHeight="false" outlineLevel="0" collapsed="false">
      <c r="A274" s="5" t="s">
        <v>102</v>
      </c>
      <c r="B274" s="5" t="s">
        <v>28</v>
      </c>
      <c r="C274" s="5" t="s">
        <v>41</v>
      </c>
      <c r="D274" s="5" t="n">
        <v>29344.93</v>
      </c>
      <c r="E274" s="5" t="n">
        <v>7446</v>
      </c>
      <c r="F274" s="5" t="n">
        <v>0.111</v>
      </c>
      <c r="G274" s="5" t="n">
        <v>86.2</v>
      </c>
      <c r="H274" s="5" t="n">
        <v>3.2</v>
      </c>
      <c r="I274" s="5" t="n">
        <v>593343</v>
      </c>
      <c r="J274" s="5" t="n">
        <v>1</v>
      </c>
      <c r="K274" s="5" t="n">
        <v>0</v>
      </c>
      <c r="L274" s="5" t="n">
        <v>0</v>
      </c>
      <c r="P274" s="1" t="n">
        <f aca="false">E274</f>
        <v>7446</v>
      </c>
      <c r="Q274" s="1" t="n">
        <f aca="false">D274</f>
        <v>29344.93</v>
      </c>
      <c r="R274" s="1" t="n">
        <f aca="false">G274</f>
        <v>86.2</v>
      </c>
      <c r="S274" s="1" t="n">
        <f aca="false">J274</f>
        <v>1</v>
      </c>
      <c r="T274" s="1" t="n">
        <f aca="false">K274</f>
        <v>0</v>
      </c>
      <c r="U274" s="1" t="n">
        <f aca="false">L274</f>
        <v>0</v>
      </c>
      <c r="W274" s="1" t="n">
        <f aca="false">E274</f>
        <v>7446</v>
      </c>
      <c r="X274" s="1" t="n">
        <f aca="false">D274</f>
        <v>29344.93</v>
      </c>
      <c r="Y274" s="1" t="n">
        <f aca="false">G274</f>
        <v>86.2</v>
      </c>
      <c r="Z274" s="1" t="n">
        <f aca="false">F274</f>
        <v>0.111</v>
      </c>
      <c r="AA274" s="1" t="n">
        <f aca="false">H274</f>
        <v>3.2</v>
      </c>
      <c r="AB274" s="1" t="n">
        <f aca="false">J274</f>
        <v>1</v>
      </c>
      <c r="AC274" s="1" t="n">
        <f aca="false">K274</f>
        <v>0</v>
      </c>
      <c r="AD274" s="1" t="n">
        <f aca="false">L274</f>
        <v>0</v>
      </c>
    </row>
    <row r="275" customFormat="false" ht="15" hidden="false" customHeight="false" outlineLevel="0" collapsed="false">
      <c r="A275" s="5" t="s">
        <v>103</v>
      </c>
      <c r="B275" s="5" t="s">
        <v>40</v>
      </c>
      <c r="C275" s="5" t="s">
        <v>31</v>
      </c>
      <c r="D275" s="5" t="n">
        <v>50532.17</v>
      </c>
      <c r="E275" s="5" t="n">
        <v>5689</v>
      </c>
      <c r="F275" s="5" t="n">
        <v>0.052</v>
      </c>
      <c r="G275" s="5" t="n">
        <v>85.6</v>
      </c>
      <c r="H275" s="5" t="n">
        <v>3.3</v>
      </c>
      <c r="I275" s="5" t="n">
        <v>645039.97</v>
      </c>
      <c r="J275" s="5" t="n">
        <v>0</v>
      </c>
      <c r="K275" s="5" t="n">
        <v>0</v>
      </c>
      <c r="L275" s="5" t="n">
        <v>0</v>
      </c>
      <c r="P275" s="1" t="n">
        <f aca="false">E275</f>
        <v>5689</v>
      </c>
      <c r="Q275" s="1" t="n">
        <f aca="false">D275</f>
        <v>50532.17</v>
      </c>
      <c r="R275" s="1" t="n">
        <f aca="false">G275</f>
        <v>85.6</v>
      </c>
      <c r="S275" s="1" t="n">
        <f aca="false">J275</f>
        <v>0</v>
      </c>
      <c r="T275" s="1" t="n">
        <f aca="false">K275</f>
        <v>0</v>
      </c>
      <c r="U275" s="1" t="n">
        <f aca="false">L275</f>
        <v>0</v>
      </c>
      <c r="W275" s="1" t="n">
        <f aca="false">E275</f>
        <v>5689</v>
      </c>
      <c r="X275" s="1" t="n">
        <f aca="false">D275</f>
        <v>50532.17</v>
      </c>
      <c r="Y275" s="1" t="n">
        <f aca="false">G275</f>
        <v>85.6</v>
      </c>
      <c r="Z275" s="1" t="n">
        <f aca="false">F275</f>
        <v>0.052</v>
      </c>
      <c r="AA275" s="1" t="n">
        <f aca="false">H275</f>
        <v>3.3</v>
      </c>
      <c r="AB275" s="1" t="n">
        <f aca="false">J275</f>
        <v>0</v>
      </c>
      <c r="AC275" s="1" t="n">
        <f aca="false">K275</f>
        <v>0</v>
      </c>
      <c r="AD275" s="1" t="n">
        <f aca="false">L275</f>
        <v>0</v>
      </c>
    </row>
    <row r="276" customFormat="false" ht="15" hidden="false" customHeight="false" outlineLevel="0" collapsed="false">
      <c r="A276" s="5" t="s">
        <v>103</v>
      </c>
      <c r="B276" s="5" t="s">
        <v>40</v>
      </c>
      <c r="C276" s="5" t="s">
        <v>31</v>
      </c>
      <c r="D276" s="5" t="n">
        <v>17562.57</v>
      </c>
      <c r="E276" s="5" t="n">
        <v>3326</v>
      </c>
      <c r="F276" s="5" t="n">
        <v>0.153</v>
      </c>
      <c r="G276" s="5" t="n">
        <v>88.1</v>
      </c>
      <c r="H276" s="5" t="n">
        <v>3.1</v>
      </c>
      <c r="I276" s="5" t="n">
        <v>561597.33</v>
      </c>
      <c r="J276" s="5" t="n">
        <v>0</v>
      </c>
      <c r="K276" s="5" t="n">
        <v>0</v>
      </c>
      <c r="L276" s="5" t="n">
        <v>0</v>
      </c>
      <c r="P276" s="1" t="n">
        <f aca="false">E276</f>
        <v>3326</v>
      </c>
      <c r="Q276" s="1" t="n">
        <f aca="false">D276</f>
        <v>17562.57</v>
      </c>
      <c r="R276" s="1" t="n">
        <f aca="false">G276</f>
        <v>88.1</v>
      </c>
      <c r="S276" s="1" t="n">
        <f aca="false">J276</f>
        <v>0</v>
      </c>
      <c r="T276" s="1" t="n">
        <f aca="false">K276</f>
        <v>0</v>
      </c>
      <c r="U276" s="1" t="n">
        <f aca="false">L276</f>
        <v>0</v>
      </c>
      <c r="W276" s="1" t="n">
        <f aca="false">E276</f>
        <v>3326</v>
      </c>
      <c r="X276" s="1" t="n">
        <f aca="false">D276</f>
        <v>17562.57</v>
      </c>
      <c r="Y276" s="1" t="n">
        <f aca="false">G276</f>
        <v>88.1</v>
      </c>
      <c r="Z276" s="1" t="n">
        <f aca="false">F276</f>
        <v>0.153</v>
      </c>
      <c r="AA276" s="1" t="n">
        <f aca="false">H276</f>
        <v>3.1</v>
      </c>
      <c r="AB276" s="1" t="n">
        <f aca="false">J276</f>
        <v>0</v>
      </c>
      <c r="AC276" s="1" t="n">
        <f aca="false">K276</f>
        <v>0</v>
      </c>
      <c r="AD276" s="1" t="n">
        <f aca="false">L276</f>
        <v>0</v>
      </c>
    </row>
    <row r="277" customFormat="false" ht="15" hidden="false" customHeight="false" outlineLevel="0" collapsed="false">
      <c r="A277" s="5" t="s">
        <v>103</v>
      </c>
      <c r="B277" s="5" t="s">
        <v>40</v>
      </c>
      <c r="C277" s="5" t="s">
        <v>31</v>
      </c>
      <c r="D277" s="5" t="n">
        <v>47648.71</v>
      </c>
      <c r="E277" s="5" t="n">
        <v>5767</v>
      </c>
      <c r="F277" s="5" t="n">
        <v>0.141</v>
      </c>
      <c r="G277" s="5" t="n">
        <v>89.8</v>
      </c>
      <c r="H277" s="5" t="n">
        <v>3.1</v>
      </c>
      <c r="I277" s="5" t="n">
        <v>635837.74</v>
      </c>
      <c r="J277" s="5" t="n">
        <v>0</v>
      </c>
      <c r="K277" s="5" t="n">
        <v>0</v>
      </c>
      <c r="L277" s="5" t="n">
        <v>0</v>
      </c>
      <c r="P277" s="1" t="n">
        <f aca="false">E277</f>
        <v>5767</v>
      </c>
      <c r="Q277" s="1" t="n">
        <f aca="false">D277</f>
        <v>47648.71</v>
      </c>
      <c r="R277" s="1" t="n">
        <f aca="false">G277</f>
        <v>89.8</v>
      </c>
      <c r="S277" s="1" t="n">
        <f aca="false">J277</f>
        <v>0</v>
      </c>
      <c r="T277" s="1" t="n">
        <f aca="false">K277</f>
        <v>0</v>
      </c>
      <c r="U277" s="1" t="n">
        <f aca="false">L277</f>
        <v>0</v>
      </c>
      <c r="W277" s="1" t="n">
        <f aca="false">E277</f>
        <v>5767</v>
      </c>
      <c r="X277" s="1" t="n">
        <f aca="false">D277</f>
        <v>47648.71</v>
      </c>
      <c r="Y277" s="1" t="n">
        <f aca="false">G277</f>
        <v>89.8</v>
      </c>
      <c r="Z277" s="1" t="n">
        <f aca="false">F277</f>
        <v>0.141</v>
      </c>
      <c r="AA277" s="1" t="n">
        <f aca="false">H277</f>
        <v>3.1</v>
      </c>
      <c r="AB277" s="1" t="n">
        <f aca="false">J277</f>
        <v>0</v>
      </c>
      <c r="AC277" s="1" t="n">
        <f aca="false">K277</f>
        <v>0</v>
      </c>
      <c r="AD277" s="1" t="n">
        <f aca="false">L277</f>
        <v>0</v>
      </c>
    </row>
    <row r="278" customFormat="false" ht="15" hidden="false" customHeight="false" outlineLevel="0" collapsed="false">
      <c r="A278" s="5" t="s">
        <v>103</v>
      </c>
      <c r="B278" s="5" t="s">
        <v>40</v>
      </c>
      <c r="C278" s="5" t="s">
        <v>31</v>
      </c>
      <c r="D278" s="5" t="n">
        <v>38297.58</v>
      </c>
      <c r="E278" s="5" t="n">
        <v>5893</v>
      </c>
      <c r="F278" s="5" t="n">
        <v>0.247</v>
      </c>
      <c r="G278" s="5" t="n">
        <v>77.6</v>
      </c>
      <c r="H278" s="5" t="n">
        <v>3</v>
      </c>
      <c r="I278" s="5" t="n">
        <v>686737.87</v>
      </c>
      <c r="J278" s="5" t="n">
        <v>0</v>
      </c>
      <c r="K278" s="5" t="n">
        <v>0</v>
      </c>
      <c r="L278" s="5" t="n">
        <v>0</v>
      </c>
      <c r="P278" s="1" t="n">
        <f aca="false">E278</f>
        <v>5893</v>
      </c>
      <c r="Q278" s="1" t="n">
        <f aca="false">D278</f>
        <v>38297.58</v>
      </c>
      <c r="R278" s="1" t="n">
        <f aca="false">G278</f>
        <v>77.6</v>
      </c>
      <c r="S278" s="1" t="n">
        <f aca="false">J278</f>
        <v>0</v>
      </c>
      <c r="T278" s="1" t="n">
        <f aca="false">K278</f>
        <v>0</v>
      </c>
      <c r="U278" s="1" t="n">
        <f aca="false">L278</f>
        <v>0</v>
      </c>
      <c r="W278" s="1" t="n">
        <f aca="false">E278</f>
        <v>5893</v>
      </c>
      <c r="X278" s="1" t="n">
        <f aca="false">D278</f>
        <v>38297.58</v>
      </c>
      <c r="Y278" s="1" t="n">
        <f aca="false">G278</f>
        <v>77.6</v>
      </c>
      <c r="Z278" s="1" t="n">
        <f aca="false">F278</f>
        <v>0.247</v>
      </c>
      <c r="AA278" s="1" t="n">
        <f aca="false">H278</f>
        <v>3</v>
      </c>
      <c r="AB278" s="1" t="n">
        <f aca="false">J278</f>
        <v>0</v>
      </c>
      <c r="AC278" s="1" t="n">
        <f aca="false">K278</f>
        <v>0</v>
      </c>
      <c r="AD278" s="1" t="n">
        <f aca="false">L278</f>
        <v>0</v>
      </c>
    </row>
    <row r="279" customFormat="false" ht="15" hidden="false" customHeight="false" outlineLevel="0" collapsed="false">
      <c r="A279" s="5" t="s">
        <v>104</v>
      </c>
      <c r="B279" s="5" t="s">
        <v>37</v>
      </c>
      <c r="C279" s="5" t="s">
        <v>29</v>
      </c>
      <c r="D279" s="5" t="n">
        <v>61784.11</v>
      </c>
      <c r="E279" s="5" t="n">
        <v>8564</v>
      </c>
      <c r="F279" s="5" t="n">
        <v>0.13</v>
      </c>
      <c r="G279" s="5" t="n">
        <v>87.4</v>
      </c>
      <c r="H279" s="5" t="n">
        <v>3.4</v>
      </c>
      <c r="I279" s="5" t="n">
        <v>673076.34</v>
      </c>
      <c r="J279" s="5" t="n">
        <v>0</v>
      </c>
      <c r="K279" s="5" t="n">
        <v>1</v>
      </c>
      <c r="L279" s="5" t="n">
        <v>0</v>
      </c>
      <c r="P279" s="1" t="n">
        <f aca="false">E279</f>
        <v>8564</v>
      </c>
      <c r="Q279" s="1" t="n">
        <f aca="false">D279</f>
        <v>61784.11</v>
      </c>
      <c r="R279" s="1" t="n">
        <f aca="false">G279</f>
        <v>87.4</v>
      </c>
      <c r="S279" s="1" t="n">
        <f aca="false">J279</f>
        <v>0</v>
      </c>
      <c r="T279" s="1" t="n">
        <f aca="false">K279</f>
        <v>1</v>
      </c>
      <c r="U279" s="1" t="n">
        <f aca="false">L279</f>
        <v>0</v>
      </c>
      <c r="W279" s="1" t="n">
        <f aca="false">E279</f>
        <v>8564</v>
      </c>
      <c r="X279" s="1" t="n">
        <f aca="false">D279</f>
        <v>61784.11</v>
      </c>
      <c r="Y279" s="1" t="n">
        <f aca="false">G279</f>
        <v>87.4</v>
      </c>
      <c r="Z279" s="1" t="n">
        <f aca="false">F279</f>
        <v>0.13</v>
      </c>
      <c r="AA279" s="1" t="n">
        <f aca="false">H279</f>
        <v>3.4</v>
      </c>
      <c r="AB279" s="1" t="n">
        <f aca="false">J279</f>
        <v>0</v>
      </c>
      <c r="AC279" s="1" t="n">
        <f aca="false">K279</f>
        <v>1</v>
      </c>
      <c r="AD279" s="1" t="n">
        <f aca="false">L279</f>
        <v>0</v>
      </c>
    </row>
    <row r="280" customFormat="false" ht="15" hidden="false" customHeight="false" outlineLevel="0" collapsed="false">
      <c r="A280" s="5" t="s">
        <v>104</v>
      </c>
      <c r="B280" s="5" t="s">
        <v>37</v>
      </c>
      <c r="C280" s="5" t="s">
        <v>29</v>
      </c>
      <c r="D280" s="5" t="n">
        <v>36832.33</v>
      </c>
      <c r="E280" s="5" t="n">
        <v>8001</v>
      </c>
      <c r="F280" s="5" t="n">
        <v>0</v>
      </c>
      <c r="G280" s="5" t="n">
        <v>88.7</v>
      </c>
      <c r="H280" s="5" t="n">
        <v>4</v>
      </c>
      <c r="I280" s="5" t="n">
        <v>738548.42</v>
      </c>
      <c r="J280" s="5" t="n">
        <v>0</v>
      </c>
      <c r="K280" s="5" t="n">
        <v>1</v>
      </c>
      <c r="L280" s="5" t="n">
        <v>0</v>
      </c>
      <c r="P280" s="1" t="n">
        <f aca="false">E280</f>
        <v>8001</v>
      </c>
      <c r="Q280" s="1" t="n">
        <f aca="false">D280</f>
        <v>36832.33</v>
      </c>
      <c r="R280" s="1" t="n">
        <f aca="false">G280</f>
        <v>88.7</v>
      </c>
      <c r="S280" s="1" t="n">
        <f aca="false">J280</f>
        <v>0</v>
      </c>
      <c r="T280" s="1" t="n">
        <f aca="false">K280</f>
        <v>1</v>
      </c>
      <c r="U280" s="1" t="n">
        <f aca="false">L280</f>
        <v>0</v>
      </c>
      <c r="W280" s="1" t="n">
        <f aca="false">E280</f>
        <v>8001</v>
      </c>
      <c r="X280" s="1" t="n">
        <f aca="false">D280</f>
        <v>36832.33</v>
      </c>
      <c r="Y280" s="1" t="n">
        <f aca="false">G280</f>
        <v>88.7</v>
      </c>
      <c r="Z280" s="1" t="n">
        <f aca="false">F280</f>
        <v>0</v>
      </c>
      <c r="AA280" s="1" t="n">
        <f aca="false">H280</f>
        <v>4</v>
      </c>
      <c r="AB280" s="1" t="n">
        <f aca="false">J280</f>
        <v>0</v>
      </c>
      <c r="AC280" s="1" t="n">
        <f aca="false">K280</f>
        <v>1</v>
      </c>
      <c r="AD280" s="1" t="n">
        <f aca="false">L280</f>
        <v>0</v>
      </c>
    </row>
    <row r="281" customFormat="false" ht="15" hidden="false" customHeight="false" outlineLevel="0" collapsed="false">
      <c r="A281" s="5" t="s">
        <v>104</v>
      </c>
      <c r="B281" s="5" t="s">
        <v>37</v>
      </c>
      <c r="C281" s="5" t="s">
        <v>29</v>
      </c>
      <c r="D281" s="5" t="n">
        <v>48609.41</v>
      </c>
      <c r="E281" s="5" t="n">
        <v>9324</v>
      </c>
      <c r="F281" s="5" t="n">
        <v>0.213</v>
      </c>
      <c r="G281" s="5" t="n">
        <v>86.5</v>
      </c>
      <c r="H281" s="5" t="n">
        <v>3.9</v>
      </c>
      <c r="I281" s="5" t="n">
        <v>756619.77</v>
      </c>
      <c r="J281" s="5" t="n">
        <v>0</v>
      </c>
      <c r="K281" s="5" t="n">
        <v>1</v>
      </c>
      <c r="L281" s="5" t="n">
        <v>0</v>
      </c>
      <c r="P281" s="1" t="n">
        <f aca="false">E281</f>
        <v>9324</v>
      </c>
      <c r="Q281" s="1" t="n">
        <f aca="false">D281</f>
        <v>48609.41</v>
      </c>
      <c r="R281" s="1" t="n">
        <f aca="false">G281</f>
        <v>86.5</v>
      </c>
      <c r="S281" s="1" t="n">
        <f aca="false">J281</f>
        <v>0</v>
      </c>
      <c r="T281" s="1" t="n">
        <f aca="false">K281</f>
        <v>1</v>
      </c>
      <c r="U281" s="1" t="n">
        <f aca="false">L281</f>
        <v>0</v>
      </c>
      <c r="W281" s="1" t="n">
        <f aca="false">E281</f>
        <v>9324</v>
      </c>
      <c r="X281" s="1" t="n">
        <f aca="false">D281</f>
        <v>48609.41</v>
      </c>
      <c r="Y281" s="1" t="n">
        <f aca="false">G281</f>
        <v>86.5</v>
      </c>
      <c r="Z281" s="1" t="n">
        <f aca="false">F281</f>
        <v>0.213</v>
      </c>
      <c r="AA281" s="1" t="n">
        <f aca="false">H281</f>
        <v>3.9</v>
      </c>
      <c r="AB281" s="1" t="n">
        <f aca="false">J281</f>
        <v>0</v>
      </c>
      <c r="AC281" s="1" t="n">
        <f aca="false">K281</f>
        <v>1</v>
      </c>
      <c r="AD281" s="1" t="n">
        <f aca="false">L281</f>
        <v>0</v>
      </c>
    </row>
    <row r="282" customFormat="false" ht="15" hidden="false" customHeight="false" outlineLevel="0" collapsed="false">
      <c r="A282" s="5" t="s">
        <v>104</v>
      </c>
      <c r="B282" s="5" t="s">
        <v>37</v>
      </c>
      <c r="C282" s="5" t="s">
        <v>29</v>
      </c>
      <c r="D282" s="5" t="n">
        <v>70284.06</v>
      </c>
      <c r="E282" s="5" t="n">
        <v>9109</v>
      </c>
      <c r="F282" s="5" t="n">
        <v>0.004</v>
      </c>
      <c r="G282" s="5" t="n">
        <v>87</v>
      </c>
      <c r="H282" s="5" t="n">
        <v>3.7</v>
      </c>
      <c r="I282" s="5" t="n">
        <v>761122.42</v>
      </c>
      <c r="J282" s="5" t="n">
        <v>0</v>
      </c>
      <c r="K282" s="5" t="n">
        <v>1</v>
      </c>
      <c r="L282" s="5" t="n">
        <v>0</v>
      </c>
      <c r="P282" s="1" t="n">
        <f aca="false">E282</f>
        <v>9109</v>
      </c>
      <c r="Q282" s="1" t="n">
        <f aca="false">D282</f>
        <v>70284.06</v>
      </c>
      <c r="R282" s="1" t="n">
        <f aca="false">G282</f>
        <v>87</v>
      </c>
      <c r="S282" s="1" t="n">
        <f aca="false">J282</f>
        <v>0</v>
      </c>
      <c r="T282" s="1" t="n">
        <f aca="false">K282</f>
        <v>1</v>
      </c>
      <c r="U282" s="1" t="n">
        <f aca="false">L282</f>
        <v>0</v>
      </c>
      <c r="W282" s="1" t="n">
        <f aca="false">E282</f>
        <v>9109</v>
      </c>
      <c r="X282" s="1" t="n">
        <f aca="false">D282</f>
        <v>70284.06</v>
      </c>
      <c r="Y282" s="1" t="n">
        <f aca="false">G282</f>
        <v>87</v>
      </c>
      <c r="Z282" s="1" t="n">
        <f aca="false">F282</f>
        <v>0.004</v>
      </c>
      <c r="AA282" s="1" t="n">
        <f aca="false">H282</f>
        <v>3.7</v>
      </c>
      <c r="AB282" s="1" t="n">
        <f aca="false">J282</f>
        <v>0</v>
      </c>
      <c r="AC282" s="1" t="n">
        <f aca="false">K282</f>
        <v>1</v>
      </c>
      <c r="AD282" s="1" t="n">
        <f aca="false">L282</f>
        <v>0</v>
      </c>
    </row>
    <row r="283" customFormat="false" ht="15" hidden="false" customHeight="false" outlineLevel="0" collapsed="false">
      <c r="A283" s="5" t="s">
        <v>105</v>
      </c>
      <c r="B283" s="5" t="s">
        <v>37</v>
      </c>
      <c r="C283" s="5" t="s">
        <v>31</v>
      </c>
      <c r="D283" s="5" t="n">
        <v>45940.39</v>
      </c>
      <c r="E283" s="5" t="n">
        <v>4022</v>
      </c>
      <c r="F283" s="5" t="n">
        <v>0.069</v>
      </c>
      <c r="G283" s="5" t="n">
        <v>83</v>
      </c>
      <c r="H283" s="5" t="n">
        <v>3.8</v>
      </c>
      <c r="I283" s="5" t="n">
        <v>524899.57</v>
      </c>
      <c r="J283" s="5" t="n">
        <v>0</v>
      </c>
      <c r="K283" s="5" t="n">
        <v>0</v>
      </c>
      <c r="L283" s="5" t="n">
        <v>0</v>
      </c>
      <c r="P283" s="1" t="n">
        <f aca="false">E283</f>
        <v>4022</v>
      </c>
      <c r="Q283" s="1" t="n">
        <f aca="false">D283</f>
        <v>45940.39</v>
      </c>
      <c r="R283" s="1" t="n">
        <f aca="false">G283</f>
        <v>83</v>
      </c>
      <c r="S283" s="1" t="n">
        <f aca="false">J283</f>
        <v>0</v>
      </c>
      <c r="T283" s="1" t="n">
        <f aca="false">K283</f>
        <v>0</v>
      </c>
      <c r="U283" s="1" t="n">
        <f aca="false">L283</f>
        <v>0</v>
      </c>
      <c r="W283" s="1" t="n">
        <f aca="false">E283</f>
        <v>4022</v>
      </c>
      <c r="X283" s="1" t="n">
        <f aca="false">D283</f>
        <v>45940.39</v>
      </c>
      <c r="Y283" s="1" t="n">
        <f aca="false">G283</f>
        <v>83</v>
      </c>
      <c r="Z283" s="1" t="n">
        <f aca="false">F283</f>
        <v>0.069</v>
      </c>
      <c r="AA283" s="1" t="n">
        <f aca="false">H283</f>
        <v>3.8</v>
      </c>
      <c r="AB283" s="1" t="n">
        <f aca="false">J283</f>
        <v>0</v>
      </c>
      <c r="AC283" s="1" t="n">
        <f aca="false">K283</f>
        <v>0</v>
      </c>
      <c r="AD283" s="1" t="n">
        <f aca="false">L283</f>
        <v>0</v>
      </c>
    </row>
    <row r="284" customFormat="false" ht="15" hidden="false" customHeight="false" outlineLevel="0" collapsed="false">
      <c r="A284" s="5" t="s">
        <v>105</v>
      </c>
      <c r="B284" s="5" t="s">
        <v>37</v>
      </c>
      <c r="C284" s="5" t="s">
        <v>31</v>
      </c>
      <c r="D284" s="5" t="n">
        <v>34771.26</v>
      </c>
      <c r="E284" s="5" t="n">
        <v>4355</v>
      </c>
      <c r="F284" s="5" t="n">
        <v>0.051</v>
      </c>
      <c r="G284" s="5" t="n">
        <v>87.9</v>
      </c>
      <c r="H284" s="5" t="n">
        <v>4</v>
      </c>
      <c r="I284" s="5" t="n">
        <v>555557.77</v>
      </c>
      <c r="J284" s="5" t="n">
        <v>0</v>
      </c>
      <c r="K284" s="5" t="n">
        <v>0</v>
      </c>
      <c r="L284" s="5" t="n">
        <v>0</v>
      </c>
      <c r="P284" s="1" t="n">
        <f aca="false">E284</f>
        <v>4355</v>
      </c>
      <c r="Q284" s="1" t="n">
        <f aca="false">D284</f>
        <v>34771.26</v>
      </c>
      <c r="R284" s="1" t="n">
        <f aca="false">G284</f>
        <v>87.9</v>
      </c>
      <c r="S284" s="1" t="n">
        <f aca="false">J284</f>
        <v>0</v>
      </c>
      <c r="T284" s="1" t="n">
        <f aca="false">K284</f>
        <v>0</v>
      </c>
      <c r="U284" s="1" t="n">
        <f aca="false">L284</f>
        <v>0</v>
      </c>
      <c r="W284" s="1" t="n">
        <f aca="false">E284</f>
        <v>4355</v>
      </c>
      <c r="X284" s="1" t="n">
        <f aca="false">D284</f>
        <v>34771.26</v>
      </c>
      <c r="Y284" s="1" t="n">
        <f aca="false">G284</f>
        <v>87.9</v>
      </c>
      <c r="Z284" s="1" t="n">
        <f aca="false">F284</f>
        <v>0.051</v>
      </c>
      <c r="AA284" s="1" t="n">
        <f aca="false">H284</f>
        <v>4</v>
      </c>
      <c r="AB284" s="1" t="n">
        <f aca="false">J284</f>
        <v>0</v>
      </c>
      <c r="AC284" s="1" t="n">
        <f aca="false">K284</f>
        <v>0</v>
      </c>
      <c r="AD284" s="1" t="n">
        <f aca="false">L284</f>
        <v>0</v>
      </c>
    </row>
    <row r="285" customFormat="false" ht="15" hidden="false" customHeight="false" outlineLevel="0" collapsed="false">
      <c r="A285" s="5" t="s">
        <v>105</v>
      </c>
      <c r="B285" s="5" t="s">
        <v>37</v>
      </c>
      <c r="C285" s="5" t="s">
        <v>31</v>
      </c>
      <c r="D285" s="5" t="n">
        <v>66104.19</v>
      </c>
      <c r="E285" s="5" t="n">
        <v>5745</v>
      </c>
      <c r="F285" s="5" t="n">
        <v>0.07</v>
      </c>
      <c r="G285" s="5" t="n">
        <v>95.8</v>
      </c>
      <c r="H285" s="5" t="n">
        <v>4</v>
      </c>
      <c r="I285" s="5" t="n">
        <v>714083.68</v>
      </c>
      <c r="J285" s="5" t="n">
        <v>0</v>
      </c>
      <c r="K285" s="5" t="n">
        <v>0</v>
      </c>
      <c r="L285" s="5" t="n">
        <v>0</v>
      </c>
      <c r="P285" s="1" t="n">
        <f aca="false">E285</f>
        <v>5745</v>
      </c>
      <c r="Q285" s="1" t="n">
        <f aca="false">D285</f>
        <v>66104.19</v>
      </c>
      <c r="R285" s="1" t="n">
        <f aca="false">G285</f>
        <v>95.8</v>
      </c>
      <c r="S285" s="1" t="n">
        <f aca="false">J285</f>
        <v>0</v>
      </c>
      <c r="T285" s="1" t="n">
        <f aca="false">K285</f>
        <v>0</v>
      </c>
      <c r="U285" s="1" t="n">
        <f aca="false">L285</f>
        <v>0</v>
      </c>
      <c r="W285" s="1" t="n">
        <f aca="false">E285</f>
        <v>5745</v>
      </c>
      <c r="X285" s="1" t="n">
        <f aca="false">D285</f>
        <v>66104.19</v>
      </c>
      <c r="Y285" s="1" t="n">
        <f aca="false">G285</f>
        <v>95.8</v>
      </c>
      <c r="Z285" s="1" t="n">
        <f aca="false">F285</f>
        <v>0.07</v>
      </c>
      <c r="AA285" s="1" t="n">
        <f aca="false">H285</f>
        <v>4</v>
      </c>
      <c r="AB285" s="1" t="n">
        <f aca="false">J285</f>
        <v>0</v>
      </c>
      <c r="AC285" s="1" t="n">
        <f aca="false">K285</f>
        <v>0</v>
      </c>
      <c r="AD285" s="1" t="n">
        <f aca="false">L285</f>
        <v>0</v>
      </c>
    </row>
    <row r="286" customFormat="false" ht="15" hidden="false" customHeight="false" outlineLevel="0" collapsed="false">
      <c r="A286" s="5" t="s">
        <v>105</v>
      </c>
      <c r="B286" s="5" t="s">
        <v>37</v>
      </c>
      <c r="C286" s="5" t="s">
        <v>31</v>
      </c>
      <c r="D286" s="5" t="n">
        <v>18599.21</v>
      </c>
      <c r="E286" s="5" t="n">
        <v>3027</v>
      </c>
      <c r="F286" s="5" t="n">
        <v>0.122</v>
      </c>
      <c r="G286" s="5" t="n">
        <v>80.9</v>
      </c>
      <c r="H286" s="5" t="n">
        <v>4.2</v>
      </c>
      <c r="I286" s="5" t="n">
        <v>497439.82</v>
      </c>
      <c r="J286" s="5" t="n">
        <v>0</v>
      </c>
      <c r="K286" s="5" t="n">
        <v>0</v>
      </c>
      <c r="L286" s="5" t="n">
        <v>0</v>
      </c>
      <c r="P286" s="1" t="n">
        <f aca="false">E286</f>
        <v>3027</v>
      </c>
      <c r="Q286" s="1" t="n">
        <f aca="false">D286</f>
        <v>18599.21</v>
      </c>
      <c r="R286" s="1" t="n">
        <f aca="false">G286</f>
        <v>80.9</v>
      </c>
      <c r="S286" s="1" t="n">
        <f aca="false">J286</f>
        <v>0</v>
      </c>
      <c r="T286" s="1" t="n">
        <f aca="false">K286</f>
        <v>0</v>
      </c>
      <c r="U286" s="1" t="n">
        <f aca="false">L286</f>
        <v>0</v>
      </c>
      <c r="W286" s="1" t="n">
        <f aca="false">E286</f>
        <v>3027</v>
      </c>
      <c r="X286" s="1" t="n">
        <f aca="false">D286</f>
        <v>18599.21</v>
      </c>
      <c r="Y286" s="1" t="n">
        <f aca="false">G286</f>
        <v>80.9</v>
      </c>
      <c r="Z286" s="1" t="n">
        <f aca="false">F286</f>
        <v>0.122</v>
      </c>
      <c r="AA286" s="1" t="n">
        <f aca="false">H286</f>
        <v>4.2</v>
      </c>
      <c r="AB286" s="1" t="n">
        <f aca="false">J286</f>
        <v>0</v>
      </c>
      <c r="AC286" s="1" t="n">
        <f aca="false">K286</f>
        <v>0</v>
      </c>
      <c r="AD286" s="1" t="n">
        <f aca="false">L286</f>
        <v>0</v>
      </c>
    </row>
    <row r="287" customFormat="false" ht="15" hidden="false" customHeight="false" outlineLevel="0" collapsed="false">
      <c r="A287" s="5" t="s">
        <v>106</v>
      </c>
      <c r="B287" s="5" t="s">
        <v>40</v>
      </c>
      <c r="C287" s="5" t="s">
        <v>29</v>
      </c>
      <c r="D287" s="5" t="n">
        <v>60183.06</v>
      </c>
      <c r="E287" s="5" t="n">
        <v>5562</v>
      </c>
      <c r="F287" s="5" t="n">
        <v>0.009</v>
      </c>
      <c r="G287" s="5" t="n">
        <v>86.3</v>
      </c>
      <c r="H287" s="5" t="n">
        <v>4.5</v>
      </c>
      <c r="I287" s="5" t="n">
        <v>636775.66</v>
      </c>
      <c r="J287" s="5" t="n">
        <v>0</v>
      </c>
      <c r="K287" s="5" t="n">
        <v>1</v>
      </c>
      <c r="L287" s="5" t="n">
        <v>0</v>
      </c>
      <c r="P287" s="1" t="n">
        <f aca="false">E287</f>
        <v>5562</v>
      </c>
      <c r="Q287" s="1" t="n">
        <f aca="false">D287</f>
        <v>60183.06</v>
      </c>
      <c r="R287" s="1" t="n">
        <f aca="false">G287</f>
        <v>86.3</v>
      </c>
      <c r="S287" s="1" t="n">
        <f aca="false">J287</f>
        <v>0</v>
      </c>
      <c r="T287" s="1" t="n">
        <f aca="false">K287</f>
        <v>1</v>
      </c>
      <c r="U287" s="1" t="n">
        <f aca="false">L287</f>
        <v>0</v>
      </c>
      <c r="W287" s="1" t="n">
        <f aca="false">E287</f>
        <v>5562</v>
      </c>
      <c r="X287" s="1" t="n">
        <f aca="false">D287</f>
        <v>60183.06</v>
      </c>
      <c r="Y287" s="1" t="n">
        <f aca="false">G287</f>
        <v>86.3</v>
      </c>
      <c r="Z287" s="1" t="n">
        <f aca="false">F287</f>
        <v>0.009</v>
      </c>
      <c r="AA287" s="1" t="n">
        <f aca="false">H287</f>
        <v>4.5</v>
      </c>
      <c r="AB287" s="1" t="n">
        <f aca="false">J287</f>
        <v>0</v>
      </c>
      <c r="AC287" s="1" t="n">
        <f aca="false">K287</f>
        <v>1</v>
      </c>
      <c r="AD287" s="1" t="n">
        <f aca="false">L287</f>
        <v>0</v>
      </c>
    </row>
    <row r="288" customFormat="false" ht="15" hidden="false" customHeight="false" outlineLevel="0" collapsed="false">
      <c r="A288" s="5" t="s">
        <v>106</v>
      </c>
      <c r="B288" s="5" t="s">
        <v>40</v>
      </c>
      <c r="C288" s="5" t="s">
        <v>29</v>
      </c>
      <c r="D288" s="5" t="n">
        <v>74539.14</v>
      </c>
      <c r="E288" s="5" t="n">
        <v>4487</v>
      </c>
      <c r="F288" s="5" t="n">
        <v>0.14</v>
      </c>
      <c r="G288" s="5" t="n">
        <v>90.4</v>
      </c>
      <c r="H288" s="5" t="n">
        <v>4.5</v>
      </c>
      <c r="I288" s="5" t="n">
        <v>633009.53</v>
      </c>
      <c r="J288" s="5" t="n">
        <v>0</v>
      </c>
      <c r="K288" s="5" t="n">
        <v>1</v>
      </c>
      <c r="L288" s="5" t="n">
        <v>0</v>
      </c>
      <c r="P288" s="1" t="n">
        <f aca="false">E288</f>
        <v>4487</v>
      </c>
      <c r="Q288" s="1" t="n">
        <f aca="false">D288</f>
        <v>74539.14</v>
      </c>
      <c r="R288" s="1" t="n">
        <f aca="false">G288</f>
        <v>90.4</v>
      </c>
      <c r="S288" s="1" t="n">
        <f aca="false">J288</f>
        <v>0</v>
      </c>
      <c r="T288" s="1" t="n">
        <f aca="false">K288</f>
        <v>1</v>
      </c>
      <c r="U288" s="1" t="n">
        <f aca="false">L288</f>
        <v>0</v>
      </c>
      <c r="W288" s="1" t="n">
        <f aca="false">E288</f>
        <v>4487</v>
      </c>
      <c r="X288" s="1" t="n">
        <f aca="false">D288</f>
        <v>74539.14</v>
      </c>
      <c r="Y288" s="1" t="n">
        <f aca="false">G288</f>
        <v>90.4</v>
      </c>
      <c r="Z288" s="1" t="n">
        <f aca="false">F288</f>
        <v>0.14</v>
      </c>
      <c r="AA288" s="1" t="n">
        <f aca="false">H288</f>
        <v>4.5</v>
      </c>
      <c r="AB288" s="1" t="n">
        <f aca="false">J288</f>
        <v>0</v>
      </c>
      <c r="AC288" s="1" t="n">
        <f aca="false">K288</f>
        <v>1</v>
      </c>
      <c r="AD288" s="1" t="n">
        <f aca="false">L288</f>
        <v>0</v>
      </c>
    </row>
    <row r="289" customFormat="false" ht="15" hidden="false" customHeight="false" outlineLevel="0" collapsed="false">
      <c r="A289" s="5" t="s">
        <v>106</v>
      </c>
      <c r="B289" s="5" t="s">
        <v>40</v>
      </c>
      <c r="C289" s="5" t="s">
        <v>29</v>
      </c>
      <c r="D289" s="5" t="n">
        <v>55371.97</v>
      </c>
      <c r="E289" s="5" t="n">
        <v>4162</v>
      </c>
      <c r="F289" s="5" t="n">
        <v>0.183</v>
      </c>
      <c r="G289" s="5" t="n">
        <v>92</v>
      </c>
      <c r="H289" s="5" t="n">
        <v>4.2</v>
      </c>
      <c r="I289" s="5" t="n">
        <v>609949</v>
      </c>
      <c r="J289" s="5" t="n">
        <v>0</v>
      </c>
      <c r="K289" s="5" t="n">
        <v>1</v>
      </c>
      <c r="L289" s="5" t="n">
        <v>0</v>
      </c>
      <c r="P289" s="1" t="n">
        <f aca="false">E289</f>
        <v>4162</v>
      </c>
      <c r="Q289" s="1" t="n">
        <f aca="false">D289</f>
        <v>55371.97</v>
      </c>
      <c r="R289" s="1" t="n">
        <f aca="false">G289</f>
        <v>92</v>
      </c>
      <c r="S289" s="1" t="n">
        <f aca="false">J289</f>
        <v>0</v>
      </c>
      <c r="T289" s="1" t="n">
        <f aca="false">K289</f>
        <v>1</v>
      </c>
      <c r="U289" s="1" t="n">
        <f aca="false">L289</f>
        <v>0</v>
      </c>
      <c r="W289" s="1" t="n">
        <f aca="false">E289</f>
        <v>4162</v>
      </c>
      <c r="X289" s="1" t="n">
        <f aca="false">D289</f>
        <v>55371.97</v>
      </c>
      <c r="Y289" s="1" t="n">
        <f aca="false">G289</f>
        <v>92</v>
      </c>
      <c r="Z289" s="1" t="n">
        <f aca="false">F289</f>
        <v>0.183</v>
      </c>
      <c r="AA289" s="1" t="n">
        <f aca="false">H289</f>
        <v>4.2</v>
      </c>
      <c r="AB289" s="1" t="n">
        <f aca="false">J289</f>
        <v>0</v>
      </c>
      <c r="AC289" s="1" t="n">
        <f aca="false">K289</f>
        <v>1</v>
      </c>
      <c r="AD289" s="1" t="n">
        <f aca="false">L289</f>
        <v>0</v>
      </c>
    </row>
    <row r="290" customFormat="false" ht="15" hidden="false" customHeight="false" outlineLevel="0" collapsed="false">
      <c r="A290" s="5" t="s">
        <v>106</v>
      </c>
      <c r="B290" s="5" t="s">
        <v>40</v>
      </c>
      <c r="C290" s="5" t="s">
        <v>29</v>
      </c>
      <c r="D290" s="5" t="n">
        <v>40928.69</v>
      </c>
      <c r="E290" s="5" t="n">
        <v>4094</v>
      </c>
      <c r="F290" s="5" t="n">
        <v>0.174</v>
      </c>
      <c r="G290" s="5" t="n">
        <v>82.4</v>
      </c>
      <c r="H290" s="5" t="n">
        <v>4.8</v>
      </c>
      <c r="I290" s="5" t="n">
        <v>548103.7</v>
      </c>
      <c r="J290" s="5" t="n">
        <v>0</v>
      </c>
      <c r="K290" s="5" t="n">
        <v>1</v>
      </c>
      <c r="L290" s="5" t="n">
        <v>0</v>
      </c>
      <c r="P290" s="1" t="n">
        <f aca="false">E290</f>
        <v>4094</v>
      </c>
      <c r="Q290" s="1" t="n">
        <f aca="false">D290</f>
        <v>40928.69</v>
      </c>
      <c r="R290" s="1" t="n">
        <f aca="false">G290</f>
        <v>82.4</v>
      </c>
      <c r="S290" s="1" t="n">
        <f aca="false">J290</f>
        <v>0</v>
      </c>
      <c r="T290" s="1" t="n">
        <f aca="false">K290</f>
        <v>1</v>
      </c>
      <c r="U290" s="1" t="n">
        <f aca="false">L290</f>
        <v>0</v>
      </c>
      <c r="W290" s="1" t="n">
        <f aca="false">E290</f>
        <v>4094</v>
      </c>
      <c r="X290" s="1" t="n">
        <f aca="false">D290</f>
        <v>40928.69</v>
      </c>
      <c r="Y290" s="1" t="n">
        <f aca="false">G290</f>
        <v>82.4</v>
      </c>
      <c r="Z290" s="1" t="n">
        <f aca="false">F290</f>
        <v>0.174</v>
      </c>
      <c r="AA290" s="1" t="n">
        <f aca="false">H290</f>
        <v>4.8</v>
      </c>
      <c r="AB290" s="1" t="n">
        <f aca="false">J290</f>
        <v>0</v>
      </c>
      <c r="AC290" s="1" t="n">
        <f aca="false">K290</f>
        <v>1</v>
      </c>
      <c r="AD290" s="1" t="n">
        <f aca="false">L290</f>
        <v>0</v>
      </c>
    </row>
    <row r="291" customFormat="false" ht="15" hidden="false" customHeight="false" outlineLevel="0" collapsed="false">
      <c r="A291" s="5" t="s">
        <v>107</v>
      </c>
      <c r="B291" s="5" t="s">
        <v>28</v>
      </c>
      <c r="C291" s="5" t="s">
        <v>29</v>
      </c>
      <c r="D291" s="5" t="n">
        <v>70012.41</v>
      </c>
      <c r="E291" s="5" t="n">
        <v>8484</v>
      </c>
      <c r="F291" s="5" t="n">
        <v>0.273</v>
      </c>
      <c r="G291" s="5" t="n">
        <v>72.9</v>
      </c>
      <c r="H291" s="5" t="n">
        <v>3.7</v>
      </c>
      <c r="I291" s="5" t="n">
        <v>729424.42</v>
      </c>
      <c r="J291" s="5" t="n">
        <v>0</v>
      </c>
      <c r="K291" s="5" t="n">
        <v>1</v>
      </c>
      <c r="L291" s="5" t="n">
        <v>0</v>
      </c>
      <c r="P291" s="1" t="n">
        <f aca="false">E291</f>
        <v>8484</v>
      </c>
      <c r="Q291" s="1" t="n">
        <f aca="false">D291</f>
        <v>70012.41</v>
      </c>
      <c r="R291" s="1" t="n">
        <f aca="false">G291</f>
        <v>72.9</v>
      </c>
      <c r="S291" s="1" t="n">
        <f aca="false">J291</f>
        <v>0</v>
      </c>
      <c r="T291" s="1" t="n">
        <f aca="false">K291</f>
        <v>1</v>
      </c>
      <c r="U291" s="1" t="n">
        <f aca="false">L291</f>
        <v>0</v>
      </c>
      <c r="W291" s="1" t="n">
        <f aca="false">E291</f>
        <v>8484</v>
      </c>
      <c r="X291" s="1" t="n">
        <f aca="false">D291</f>
        <v>70012.41</v>
      </c>
      <c r="Y291" s="1" t="n">
        <f aca="false">G291</f>
        <v>72.9</v>
      </c>
      <c r="Z291" s="1" t="n">
        <f aca="false">F291</f>
        <v>0.273</v>
      </c>
      <c r="AA291" s="1" t="n">
        <f aca="false">H291</f>
        <v>3.7</v>
      </c>
      <c r="AB291" s="1" t="n">
        <f aca="false">J291</f>
        <v>0</v>
      </c>
      <c r="AC291" s="1" t="n">
        <f aca="false">K291</f>
        <v>1</v>
      </c>
      <c r="AD291" s="1" t="n">
        <f aca="false">L291</f>
        <v>0</v>
      </c>
    </row>
    <row r="292" customFormat="false" ht="15" hidden="false" customHeight="false" outlineLevel="0" collapsed="false">
      <c r="A292" s="5" t="s">
        <v>107</v>
      </c>
      <c r="B292" s="5" t="s">
        <v>28</v>
      </c>
      <c r="C292" s="5" t="s">
        <v>29</v>
      </c>
      <c r="D292" s="5" t="n">
        <v>68909.26</v>
      </c>
      <c r="E292" s="5" t="n">
        <v>7794</v>
      </c>
      <c r="F292" s="5" t="n">
        <v>0.284</v>
      </c>
      <c r="G292" s="5" t="n">
        <v>89</v>
      </c>
      <c r="H292" s="5" t="n">
        <v>4</v>
      </c>
      <c r="I292" s="5" t="n">
        <v>696261.49</v>
      </c>
      <c r="J292" s="5" t="n">
        <v>0</v>
      </c>
      <c r="K292" s="5" t="n">
        <v>1</v>
      </c>
      <c r="L292" s="5" t="n">
        <v>0</v>
      </c>
      <c r="P292" s="1" t="n">
        <f aca="false">E292</f>
        <v>7794</v>
      </c>
      <c r="Q292" s="1" t="n">
        <f aca="false">D292</f>
        <v>68909.26</v>
      </c>
      <c r="R292" s="1" t="n">
        <f aca="false">G292</f>
        <v>89</v>
      </c>
      <c r="S292" s="1" t="n">
        <f aca="false">J292</f>
        <v>0</v>
      </c>
      <c r="T292" s="1" t="n">
        <f aca="false">K292</f>
        <v>1</v>
      </c>
      <c r="U292" s="1" t="n">
        <f aca="false">L292</f>
        <v>0</v>
      </c>
      <c r="W292" s="1" t="n">
        <f aca="false">E292</f>
        <v>7794</v>
      </c>
      <c r="X292" s="1" t="n">
        <f aca="false">D292</f>
        <v>68909.26</v>
      </c>
      <c r="Y292" s="1" t="n">
        <f aca="false">G292</f>
        <v>89</v>
      </c>
      <c r="Z292" s="1" t="n">
        <f aca="false">F292</f>
        <v>0.284</v>
      </c>
      <c r="AA292" s="1" t="n">
        <f aca="false">H292</f>
        <v>4</v>
      </c>
      <c r="AB292" s="1" t="n">
        <f aca="false">J292</f>
        <v>0</v>
      </c>
      <c r="AC292" s="1" t="n">
        <f aca="false">K292</f>
        <v>1</v>
      </c>
      <c r="AD292" s="1" t="n">
        <f aca="false">L292</f>
        <v>0</v>
      </c>
    </row>
    <row r="293" customFormat="false" ht="15" hidden="false" customHeight="false" outlineLevel="0" collapsed="false">
      <c r="A293" s="5" t="s">
        <v>107</v>
      </c>
      <c r="B293" s="5" t="s">
        <v>28</v>
      </c>
      <c r="C293" s="5" t="s">
        <v>29</v>
      </c>
      <c r="D293" s="5" t="n">
        <v>56737.3</v>
      </c>
      <c r="E293" s="5" t="n">
        <v>8300</v>
      </c>
      <c r="F293" s="5" t="n">
        <v>0.032</v>
      </c>
      <c r="G293" s="5" t="n">
        <v>83.2</v>
      </c>
      <c r="H293" s="5" t="n">
        <v>4.3</v>
      </c>
      <c r="I293" s="5" t="n">
        <v>813316.71</v>
      </c>
      <c r="J293" s="5" t="n">
        <v>0</v>
      </c>
      <c r="K293" s="5" t="n">
        <v>1</v>
      </c>
      <c r="L293" s="5" t="n">
        <v>0</v>
      </c>
      <c r="P293" s="1" t="n">
        <f aca="false">E293</f>
        <v>8300</v>
      </c>
      <c r="Q293" s="1" t="n">
        <f aca="false">D293</f>
        <v>56737.3</v>
      </c>
      <c r="R293" s="1" t="n">
        <f aca="false">G293</f>
        <v>83.2</v>
      </c>
      <c r="S293" s="1" t="n">
        <f aca="false">J293</f>
        <v>0</v>
      </c>
      <c r="T293" s="1" t="n">
        <f aca="false">K293</f>
        <v>1</v>
      </c>
      <c r="U293" s="1" t="n">
        <f aca="false">L293</f>
        <v>0</v>
      </c>
      <c r="W293" s="1" t="n">
        <f aca="false">E293</f>
        <v>8300</v>
      </c>
      <c r="X293" s="1" t="n">
        <f aca="false">D293</f>
        <v>56737.3</v>
      </c>
      <c r="Y293" s="1" t="n">
        <f aca="false">G293</f>
        <v>83.2</v>
      </c>
      <c r="Z293" s="1" t="n">
        <f aca="false">F293</f>
        <v>0.032</v>
      </c>
      <c r="AA293" s="1" t="n">
        <f aca="false">H293</f>
        <v>4.3</v>
      </c>
      <c r="AB293" s="1" t="n">
        <f aca="false">J293</f>
        <v>0</v>
      </c>
      <c r="AC293" s="1" t="n">
        <f aca="false">K293</f>
        <v>1</v>
      </c>
      <c r="AD293" s="1" t="n">
        <f aca="false">L293</f>
        <v>0</v>
      </c>
    </row>
    <row r="294" customFormat="false" ht="15" hidden="false" customHeight="false" outlineLevel="0" collapsed="false">
      <c r="A294" s="5" t="s">
        <v>107</v>
      </c>
      <c r="B294" s="5" t="s">
        <v>28</v>
      </c>
      <c r="C294" s="5" t="s">
        <v>29</v>
      </c>
      <c r="D294" s="5" t="n">
        <v>54080.91</v>
      </c>
      <c r="E294" s="5" t="n">
        <v>7083</v>
      </c>
      <c r="F294" s="5" t="n">
        <v>0</v>
      </c>
      <c r="G294" s="5" t="n">
        <v>97</v>
      </c>
      <c r="H294" s="5" t="n">
        <v>4.1</v>
      </c>
      <c r="I294" s="5" t="n">
        <v>702068.92</v>
      </c>
      <c r="J294" s="5" t="n">
        <v>0</v>
      </c>
      <c r="K294" s="5" t="n">
        <v>1</v>
      </c>
      <c r="L294" s="5" t="n">
        <v>0</v>
      </c>
      <c r="P294" s="1" t="n">
        <f aca="false">E294</f>
        <v>7083</v>
      </c>
      <c r="Q294" s="1" t="n">
        <f aca="false">D294</f>
        <v>54080.91</v>
      </c>
      <c r="R294" s="1" t="n">
        <f aca="false">G294</f>
        <v>97</v>
      </c>
      <c r="S294" s="1" t="n">
        <f aca="false">J294</f>
        <v>0</v>
      </c>
      <c r="T294" s="1" t="n">
        <f aca="false">K294</f>
        <v>1</v>
      </c>
      <c r="U294" s="1" t="n">
        <f aca="false">L294</f>
        <v>0</v>
      </c>
      <c r="W294" s="1" t="n">
        <f aca="false">E294</f>
        <v>7083</v>
      </c>
      <c r="X294" s="1" t="n">
        <f aca="false">D294</f>
        <v>54080.91</v>
      </c>
      <c r="Y294" s="1" t="n">
        <f aca="false">G294</f>
        <v>97</v>
      </c>
      <c r="Z294" s="1" t="n">
        <f aca="false">F294</f>
        <v>0</v>
      </c>
      <c r="AA294" s="1" t="n">
        <f aca="false">H294</f>
        <v>4.1</v>
      </c>
      <c r="AB294" s="1" t="n">
        <f aca="false">J294</f>
        <v>0</v>
      </c>
      <c r="AC294" s="1" t="n">
        <f aca="false">K294</f>
        <v>1</v>
      </c>
      <c r="AD294" s="1" t="n">
        <f aca="false">L294</f>
        <v>0</v>
      </c>
    </row>
    <row r="295" customFormat="false" ht="15" hidden="false" customHeight="false" outlineLevel="0" collapsed="false">
      <c r="A295" s="5" t="s">
        <v>108</v>
      </c>
      <c r="B295" s="5" t="s">
        <v>40</v>
      </c>
      <c r="C295" s="5" t="s">
        <v>31</v>
      </c>
      <c r="D295" s="5" t="n">
        <v>51996.32</v>
      </c>
      <c r="E295" s="5" t="n">
        <v>3834</v>
      </c>
      <c r="F295" s="5" t="n">
        <v>0.096</v>
      </c>
      <c r="G295" s="5" t="n">
        <v>86.7</v>
      </c>
      <c r="H295" s="5" t="n">
        <v>4.5</v>
      </c>
      <c r="I295" s="5" t="n">
        <v>546223.7</v>
      </c>
      <c r="J295" s="5" t="n">
        <v>0</v>
      </c>
      <c r="K295" s="5" t="n">
        <v>0</v>
      </c>
      <c r="L295" s="5" t="n">
        <v>0</v>
      </c>
      <c r="P295" s="1" t="n">
        <f aca="false">E295</f>
        <v>3834</v>
      </c>
      <c r="Q295" s="1" t="n">
        <f aca="false">D295</f>
        <v>51996.32</v>
      </c>
      <c r="R295" s="1" t="n">
        <f aca="false">G295</f>
        <v>86.7</v>
      </c>
      <c r="S295" s="1" t="n">
        <f aca="false">J295</f>
        <v>0</v>
      </c>
      <c r="T295" s="1" t="n">
        <f aca="false">K295</f>
        <v>0</v>
      </c>
      <c r="U295" s="1" t="n">
        <f aca="false">L295</f>
        <v>0</v>
      </c>
      <c r="W295" s="1" t="n">
        <f aca="false">E295</f>
        <v>3834</v>
      </c>
      <c r="X295" s="1" t="n">
        <f aca="false">D295</f>
        <v>51996.32</v>
      </c>
      <c r="Y295" s="1" t="n">
        <f aca="false">G295</f>
        <v>86.7</v>
      </c>
      <c r="Z295" s="1" t="n">
        <f aca="false">F295</f>
        <v>0.096</v>
      </c>
      <c r="AA295" s="1" t="n">
        <f aca="false">H295</f>
        <v>4.5</v>
      </c>
      <c r="AB295" s="1" t="n">
        <f aca="false">J295</f>
        <v>0</v>
      </c>
      <c r="AC295" s="1" t="n">
        <f aca="false">K295</f>
        <v>0</v>
      </c>
      <c r="AD295" s="1" t="n">
        <f aca="false">L295</f>
        <v>0</v>
      </c>
    </row>
    <row r="296" customFormat="false" ht="15" hidden="false" customHeight="false" outlineLevel="0" collapsed="false">
      <c r="A296" s="5" t="s">
        <v>108</v>
      </c>
      <c r="B296" s="5" t="s">
        <v>40</v>
      </c>
      <c r="C296" s="5" t="s">
        <v>31</v>
      </c>
      <c r="D296" s="5" t="n">
        <v>40102.88</v>
      </c>
      <c r="E296" s="5" t="n">
        <v>2358</v>
      </c>
      <c r="F296" s="5" t="n">
        <v>0.119</v>
      </c>
      <c r="G296" s="5" t="n">
        <v>88.7</v>
      </c>
      <c r="H296" s="5" t="n">
        <v>4.2</v>
      </c>
      <c r="I296" s="5" t="n">
        <v>533121.26</v>
      </c>
      <c r="J296" s="5" t="n">
        <v>0</v>
      </c>
      <c r="K296" s="5" t="n">
        <v>0</v>
      </c>
      <c r="L296" s="5" t="n">
        <v>0</v>
      </c>
      <c r="P296" s="1" t="n">
        <f aca="false">E296</f>
        <v>2358</v>
      </c>
      <c r="Q296" s="1" t="n">
        <f aca="false">D296</f>
        <v>40102.88</v>
      </c>
      <c r="R296" s="1" t="n">
        <f aca="false">G296</f>
        <v>88.7</v>
      </c>
      <c r="S296" s="1" t="n">
        <f aca="false">J296</f>
        <v>0</v>
      </c>
      <c r="T296" s="1" t="n">
        <f aca="false">K296</f>
        <v>0</v>
      </c>
      <c r="U296" s="1" t="n">
        <f aca="false">L296</f>
        <v>0</v>
      </c>
      <c r="W296" s="1" t="n">
        <f aca="false">E296</f>
        <v>2358</v>
      </c>
      <c r="X296" s="1" t="n">
        <f aca="false">D296</f>
        <v>40102.88</v>
      </c>
      <c r="Y296" s="1" t="n">
        <f aca="false">G296</f>
        <v>88.7</v>
      </c>
      <c r="Z296" s="1" t="n">
        <f aca="false">F296</f>
        <v>0.119</v>
      </c>
      <c r="AA296" s="1" t="n">
        <f aca="false">H296</f>
        <v>4.2</v>
      </c>
      <c r="AB296" s="1" t="n">
        <f aca="false">J296</f>
        <v>0</v>
      </c>
      <c r="AC296" s="1" t="n">
        <f aca="false">K296</f>
        <v>0</v>
      </c>
      <c r="AD296" s="1" t="n">
        <f aca="false">L296</f>
        <v>0</v>
      </c>
    </row>
    <row r="297" customFormat="false" ht="15" hidden="false" customHeight="false" outlineLevel="0" collapsed="false">
      <c r="A297" s="5" t="s">
        <v>108</v>
      </c>
      <c r="B297" s="5" t="s">
        <v>40</v>
      </c>
      <c r="C297" s="5" t="s">
        <v>31</v>
      </c>
      <c r="D297" s="5" t="n">
        <v>59825.51</v>
      </c>
      <c r="E297" s="5" t="n">
        <v>1231</v>
      </c>
      <c r="F297" s="5" t="n">
        <v>0.214</v>
      </c>
      <c r="G297" s="5" t="n">
        <v>84.8</v>
      </c>
      <c r="H297" s="5" t="n">
        <v>4.7</v>
      </c>
      <c r="I297" s="5" t="n">
        <v>498970.32</v>
      </c>
      <c r="J297" s="5" t="n">
        <v>0</v>
      </c>
      <c r="K297" s="5" t="n">
        <v>0</v>
      </c>
      <c r="L297" s="5" t="n">
        <v>0</v>
      </c>
      <c r="P297" s="1" t="n">
        <f aca="false">E297</f>
        <v>1231</v>
      </c>
      <c r="Q297" s="1" t="n">
        <f aca="false">D297</f>
        <v>59825.51</v>
      </c>
      <c r="R297" s="1" t="n">
        <f aca="false">G297</f>
        <v>84.8</v>
      </c>
      <c r="S297" s="1" t="n">
        <f aca="false">J297</f>
        <v>0</v>
      </c>
      <c r="T297" s="1" t="n">
        <f aca="false">K297</f>
        <v>0</v>
      </c>
      <c r="U297" s="1" t="n">
        <f aca="false">L297</f>
        <v>0</v>
      </c>
      <c r="W297" s="1" t="n">
        <f aca="false">E297</f>
        <v>1231</v>
      </c>
      <c r="X297" s="1" t="n">
        <f aca="false">D297</f>
        <v>59825.51</v>
      </c>
      <c r="Y297" s="1" t="n">
        <f aca="false">G297</f>
        <v>84.8</v>
      </c>
      <c r="Z297" s="1" t="n">
        <f aca="false">F297</f>
        <v>0.214</v>
      </c>
      <c r="AA297" s="1" t="n">
        <f aca="false">H297</f>
        <v>4.7</v>
      </c>
      <c r="AB297" s="1" t="n">
        <f aca="false">J297</f>
        <v>0</v>
      </c>
      <c r="AC297" s="1" t="n">
        <f aca="false">K297</f>
        <v>0</v>
      </c>
      <c r="AD297" s="1" t="n">
        <f aca="false">L297</f>
        <v>0</v>
      </c>
    </row>
    <row r="298" customFormat="false" ht="15" hidden="false" customHeight="false" outlineLevel="0" collapsed="false">
      <c r="A298" s="5" t="s">
        <v>108</v>
      </c>
      <c r="B298" s="5" t="s">
        <v>40</v>
      </c>
      <c r="C298" s="5" t="s">
        <v>31</v>
      </c>
      <c r="D298" s="5" t="n">
        <v>27398.28</v>
      </c>
      <c r="E298" s="5" t="n">
        <v>1723</v>
      </c>
      <c r="F298" s="5" t="n">
        <v>0.171</v>
      </c>
      <c r="G298" s="5" t="n">
        <v>81</v>
      </c>
      <c r="H298" s="5" t="n">
        <v>4.6</v>
      </c>
      <c r="I298" s="5" t="n">
        <v>487738.26</v>
      </c>
      <c r="J298" s="5" t="n">
        <v>0</v>
      </c>
      <c r="K298" s="5" t="n">
        <v>0</v>
      </c>
      <c r="L298" s="5" t="n">
        <v>0</v>
      </c>
      <c r="P298" s="1" t="n">
        <f aca="false">E298</f>
        <v>1723</v>
      </c>
      <c r="Q298" s="1" t="n">
        <f aca="false">D298</f>
        <v>27398.28</v>
      </c>
      <c r="R298" s="1" t="n">
        <f aca="false">G298</f>
        <v>81</v>
      </c>
      <c r="S298" s="1" t="n">
        <f aca="false">J298</f>
        <v>0</v>
      </c>
      <c r="T298" s="1" t="n">
        <f aca="false">K298</f>
        <v>0</v>
      </c>
      <c r="U298" s="1" t="n">
        <f aca="false">L298</f>
        <v>0</v>
      </c>
      <c r="W298" s="1" t="n">
        <f aca="false">E298</f>
        <v>1723</v>
      </c>
      <c r="X298" s="1" t="n">
        <f aca="false">D298</f>
        <v>27398.28</v>
      </c>
      <c r="Y298" s="1" t="n">
        <f aca="false">G298</f>
        <v>81</v>
      </c>
      <c r="Z298" s="1" t="n">
        <f aca="false">F298</f>
        <v>0.171</v>
      </c>
      <c r="AA298" s="1" t="n">
        <f aca="false">H298</f>
        <v>4.6</v>
      </c>
      <c r="AB298" s="1" t="n">
        <f aca="false">J298</f>
        <v>0</v>
      </c>
      <c r="AC298" s="1" t="n">
        <f aca="false">K298</f>
        <v>0</v>
      </c>
      <c r="AD298" s="1" t="n">
        <f aca="false">L298</f>
        <v>0</v>
      </c>
    </row>
    <row r="299" customFormat="false" ht="15" hidden="false" customHeight="false" outlineLevel="0" collapsed="false">
      <c r="A299" s="5" t="s">
        <v>109</v>
      </c>
      <c r="B299" s="5" t="s">
        <v>40</v>
      </c>
      <c r="C299" s="5" t="s">
        <v>31</v>
      </c>
      <c r="D299" s="5" t="n">
        <v>55599.56</v>
      </c>
      <c r="E299" s="5" t="n">
        <v>5896</v>
      </c>
      <c r="F299" s="5" t="n">
        <v>0.036</v>
      </c>
      <c r="G299" s="5" t="n">
        <v>93.1</v>
      </c>
      <c r="H299" s="5" t="n">
        <v>3.3</v>
      </c>
      <c r="I299" s="5" t="n">
        <v>668459.37</v>
      </c>
      <c r="J299" s="5" t="n">
        <v>0</v>
      </c>
      <c r="K299" s="5" t="n">
        <v>0</v>
      </c>
      <c r="L299" s="5" t="n">
        <v>0</v>
      </c>
      <c r="P299" s="1" t="n">
        <f aca="false">E299</f>
        <v>5896</v>
      </c>
      <c r="Q299" s="1" t="n">
        <f aca="false">D299</f>
        <v>55599.56</v>
      </c>
      <c r="R299" s="1" t="n">
        <f aca="false">G299</f>
        <v>93.1</v>
      </c>
      <c r="S299" s="1" t="n">
        <f aca="false">J299</f>
        <v>0</v>
      </c>
      <c r="T299" s="1" t="n">
        <f aca="false">K299</f>
        <v>0</v>
      </c>
      <c r="U299" s="1" t="n">
        <f aca="false">L299</f>
        <v>0</v>
      </c>
      <c r="W299" s="1" t="n">
        <f aca="false">E299</f>
        <v>5896</v>
      </c>
      <c r="X299" s="1" t="n">
        <f aca="false">D299</f>
        <v>55599.56</v>
      </c>
      <c r="Y299" s="1" t="n">
        <f aca="false">G299</f>
        <v>93.1</v>
      </c>
      <c r="Z299" s="1" t="n">
        <f aca="false">F299</f>
        <v>0.036</v>
      </c>
      <c r="AA299" s="1" t="n">
        <f aca="false">H299</f>
        <v>3.3</v>
      </c>
      <c r="AB299" s="1" t="n">
        <f aca="false">J299</f>
        <v>0</v>
      </c>
      <c r="AC299" s="1" t="n">
        <f aca="false">K299</f>
        <v>0</v>
      </c>
      <c r="AD299" s="1" t="n">
        <f aca="false">L299</f>
        <v>0</v>
      </c>
    </row>
    <row r="300" customFormat="false" ht="15" hidden="false" customHeight="false" outlineLevel="0" collapsed="false">
      <c r="A300" s="5" t="s">
        <v>109</v>
      </c>
      <c r="B300" s="5" t="s">
        <v>40</v>
      </c>
      <c r="C300" s="5" t="s">
        <v>31</v>
      </c>
      <c r="D300" s="5" t="n">
        <v>55477.61</v>
      </c>
      <c r="E300" s="5" t="n">
        <v>5903</v>
      </c>
      <c r="F300" s="5" t="n">
        <v>0.102</v>
      </c>
      <c r="G300" s="5" t="n">
        <v>96.2</v>
      </c>
      <c r="H300" s="5" t="n">
        <v>3.3</v>
      </c>
      <c r="I300" s="5" t="n">
        <v>763162.45</v>
      </c>
      <c r="J300" s="5" t="n">
        <v>0</v>
      </c>
      <c r="K300" s="5" t="n">
        <v>0</v>
      </c>
      <c r="L300" s="5" t="n">
        <v>0</v>
      </c>
      <c r="P300" s="1" t="n">
        <f aca="false">E300</f>
        <v>5903</v>
      </c>
      <c r="Q300" s="1" t="n">
        <f aca="false">D300</f>
        <v>55477.61</v>
      </c>
      <c r="R300" s="1" t="n">
        <f aca="false">G300</f>
        <v>96.2</v>
      </c>
      <c r="S300" s="1" t="n">
        <f aca="false">J300</f>
        <v>0</v>
      </c>
      <c r="T300" s="1" t="n">
        <f aca="false">K300</f>
        <v>0</v>
      </c>
      <c r="U300" s="1" t="n">
        <f aca="false">L300</f>
        <v>0</v>
      </c>
      <c r="W300" s="1" t="n">
        <f aca="false">E300</f>
        <v>5903</v>
      </c>
      <c r="X300" s="1" t="n">
        <f aca="false">D300</f>
        <v>55477.61</v>
      </c>
      <c r="Y300" s="1" t="n">
        <f aca="false">G300</f>
        <v>96.2</v>
      </c>
      <c r="Z300" s="1" t="n">
        <f aca="false">F300</f>
        <v>0.102</v>
      </c>
      <c r="AA300" s="1" t="n">
        <f aca="false">H300</f>
        <v>3.3</v>
      </c>
      <c r="AB300" s="1" t="n">
        <f aca="false">J300</f>
        <v>0</v>
      </c>
      <c r="AC300" s="1" t="n">
        <f aca="false">K300</f>
        <v>0</v>
      </c>
      <c r="AD300" s="1" t="n">
        <f aca="false">L300</f>
        <v>0</v>
      </c>
    </row>
    <row r="301" customFormat="false" ht="15" hidden="false" customHeight="false" outlineLevel="0" collapsed="false">
      <c r="A301" s="5" t="s">
        <v>109</v>
      </c>
      <c r="B301" s="5" t="s">
        <v>40</v>
      </c>
      <c r="C301" s="5" t="s">
        <v>31</v>
      </c>
      <c r="D301" s="5" t="n">
        <v>46174.7</v>
      </c>
      <c r="E301" s="5" t="n">
        <v>4898</v>
      </c>
      <c r="F301" s="5" t="n">
        <v>0.114</v>
      </c>
      <c r="G301" s="5" t="n">
        <v>91.7</v>
      </c>
      <c r="H301" s="5" t="n">
        <v>3.1</v>
      </c>
      <c r="I301" s="5" t="n">
        <v>599017.33</v>
      </c>
      <c r="J301" s="5" t="n">
        <v>0</v>
      </c>
      <c r="K301" s="5" t="n">
        <v>0</v>
      </c>
      <c r="L301" s="5" t="n">
        <v>0</v>
      </c>
      <c r="P301" s="1" t="n">
        <f aca="false">E301</f>
        <v>4898</v>
      </c>
      <c r="Q301" s="1" t="n">
        <f aca="false">D301</f>
        <v>46174.7</v>
      </c>
      <c r="R301" s="1" t="n">
        <f aca="false">G301</f>
        <v>91.7</v>
      </c>
      <c r="S301" s="1" t="n">
        <f aca="false">J301</f>
        <v>0</v>
      </c>
      <c r="T301" s="1" t="n">
        <f aca="false">K301</f>
        <v>0</v>
      </c>
      <c r="U301" s="1" t="n">
        <f aca="false">L301</f>
        <v>0</v>
      </c>
      <c r="W301" s="1" t="n">
        <f aca="false">E301</f>
        <v>4898</v>
      </c>
      <c r="X301" s="1" t="n">
        <f aca="false">D301</f>
        <v>46174.7</v>
      </c>
      <c r="Y301" s="1" t="n">
        <f aca="false">G301</f>
        <v>91.7</v>
      </c>
      <c r="Z301" s="1" t="n">
        <f aca="false">F301</f>
        <v>0.114</v>
      </c>
      <c r="AA301" s="1" t="n">
        <f aca="false">H301</f>
        <v>3.1</v>
      </c>
      <c r="AB301" s="1" t="n">
        <f aca="false">J301</f>
        <v>0</v>
      </c>
      <c r="AC301" s="1" t="n">
        <f aca="false">K301</f>
        <v>0</v>
      </c>
      <c r="AD301" s="1" t="n">
        <f aca="false">L301</f>
        <v>0</v>
      </c>
    </row>
    <row r="302" customFormat="false" ht="15" hidden="false" customHeight="false" outlineLevel="0" collapsed="false">
      <c r="A302" s="5" t="s">
        <v>109</v>
      </c>
      <c r="B302" s="5" t="s">
        <v>40</v>
      </c>
      <c r="C302" s="5" t="s">
        <v>31</v>
      </c>
      <c r="D302" s="5" t="n">
        <v>24362.98</v>
      </c>
      <c r="E302" s="5" t="n">
        <v>1462</v>
      </c>
      <c r="F302" s="5" t="n">
        <v>0.117</v>
      </c>
      <c r="G302" s="5" t="n">
        <v>89.3</v>
      </c>
      <c r="H302" s="5" t="n">
        <v>3.2</v>
      </c>
      <c r="I302" s="5" t="n">
        <v>401582.58</v>
      </c>
      <c r="J302" s="5" t="n">
        <v>0</v>
      </c>
      <c r="K302" s="5" t="n">
        <v>0</v>
      </c>
      <c r="L302" s="5" t="n">
        <v>0</v>
      </c>
      <c r="P302" s="1" t="n">
        <f aca="false">E302</f>
        <v>1462</v>
      </c>
      <c r="Q302" s="1" t="n">
        <f aca="false">D302</f>
        <v>24362.98</v>
      </c>
      <c r="R302" s="1" t="n">
        <f aca="false">G302</f>
        <v>89.3</v>
      </c>
      <c r="S302" s="1" t="n">
        <f aca="false">J302</f>
        <v>0</v>
      </c>
      <c r="T302" s="1" t="n">
        <f aca="false">K302</f>
        <v>0</v>
      </c>
      <c r="U302" s="1" t="n">
        <f aca="false">L302</f>
        <v>0</v>
      </c>
      <c r="W302" s="1" t="n">
        <f aca="false">E302</f>
        <v>1462</v>
      </c>
      <c r="X302" s="1" t="n">
        <f aca="false">D302</f>
        <v>24362.98</v>
      </c>
      <c r="Y302" s="1" t="n">
        <f aca="false">G302</f>
        <v>89.3</v>
      </c>
      <c r="Z302" s="1" t="n">
        <f aca="false">F302</f>
        <v>0.117</v>
      </c>
      <c r="AA302" s="1" t="n">
        <f aca="false">H302</f>
        <v>3.2</v>
      </c>
      <c r="AB302" s="1" t="n">
        <f aca="false">J302</f>
        <v>0</v>
      </c>
      <c r="AC302" s="1" t="n">
        <f aca="false">K302</f>
        <v>0</v>
      </c>
      <c r="AD302" s="1" t="n">
        <f aca="false">L302</f>
        <v>0</v>
      </c>
    </row>
    <row r="303" customFormat="false" ht="15" hidden="false" customHeight="false" outlineLevel="0" collapsed="false">
      <c r="A303" s="5" t="s">
        <v>110</v>
      </c>
      <c r="B303" s="5" t="s">
        <v>33</v>
      </c>
      <c r="C303" s="5" t="s">
        <v>41</v>
      </c>
      <c r="D303" s="5" t="n">
        <v>40647.67</v>
      </c>
      <c r="E303" s="5" t="n">
        <v>8252</v>
      </c>
      <c r="F303" s="5" t="n">
        <v>0.141</v>
      </c>
      <c r="G303" s="5" t="n">
        <v>88.2</v>
      </c>
      <c r="H303" s="5" t="n">
        <v>4.1</v>
      </c>
      <c r="I303" s="5" t="n">
        <v>703812.99</v>
      </c>
      <c r="J303" s="5" t="n">
        <v>1</v>
      </c>
      <c r="K303" s="5" t="n">
        <v>0</v>
      </c>
      <c r="L303" s="5" t="n">
        <v>0</v>
      </c>
      <c r="P303" s="1" t="n">
        <f aca="false">E303</f>
        <v>8252</v>
      </c>
      <c r="Q303" s="1" t="n">
        <f aca="false">D303</f>
        <v>40647.67</v>
      </c>
      <c r="R303" s="1" t="n">
        <f aca="false">G303</f>
        <v>88.2</v>
      </c>
      <c r="S303" s="1" t="n">
        <f aca="false">J303</f>
        <v>1</v>
      </c>
      <c r="T303" s="1" t="n">
        <f aca="false">K303</f>
        <v>0</v>
      </c>
      <c r="U303" s="1" t="n">
        <f aca="false">L303</f>
        <v>0</v>
      </c>
      <c r="W303" s="1" t="n">
        <f aca="false">E303</f>
        <v>8252</v>
      </c>
      <c r="X303" s="1" t="n">
        <f aca="false">D303</f>
        <v>40647.67</v>
      </c>
      <c r="Y303" s="1" t="n">
        <f aca="false">G303</f>
        <v>88.2</v>
      </c>
      <c r="Z303" s="1" t="n">
        <f aca="false">F303</f>
        <v>0.141</v>
      </c>
      <c r="AA303" s="1" t="n">
        <f aca="false">H303</f>
        <v>4.1</v>
      </c>
      <c r="AB303" s="1" t="n">
        <f aca="false">J303</f>
        <v>1</v>
      </c>
      <c r="AC303" s="1" t="n">
        <f aca="false">K303</f>
        <v>0</v>
      </c>
      <c r="AD303" s="1" t="n">
        <f aca="false">L303</f>
        <v>0</v>
      </c>
    </row>
    <row r="304" customFormat="false" ht="15" hidden="false" customHeight="false" outlineLevel="0" collapsed="false">
      <c r="A304" s="5" t="s">
        <v>110</v>
      </c>
      <c r="B304" s="5" t="s">
        <v>33</v>
      </c>
      <c r="C304" s="5" t="s">
        <v>41</v>
      </c>
      <c r="D304" s="5" t="n">
        <v>63986.98</v>
      </c>
      <c r="E304" s="5" t="n">
        <v>7989</v>
      </c>
      <c r="F304" s="5" t="n">
        <v>0.074</v>
      </c>
      <c r="G304" s="5" t="n">
        <v>83.3</v>
      </c>
      <c r="H304" s="5" t="n">
        <v>3.7</v>
      </c>
      <c r="I304" s="5" t="n">
        <v>724346.73</v>
      </c>
      <c r="J304" s="5" t="n">
        <v>1</v>
      </c>
      <c r="K304" s="5" t="n">
        <v>0</v>
      </c>
      <c r="L304" s="5" t="n">
        <v>0</v>
      </c>
      <c r="P304" s="1" t="n">
        <f aca="false">E304</f>
        <v>7989</v>
      </c>
      <c r="Q304" s="1" t="n">
        <f aca="false">D304</f>
        <v>63986.98</v>
      </c>
      <c r="R304" s="1" t="n">
        <f aca="false">G304</f>
        <v>83.3</v>
      </c>
      <c r="S304" s="1" t="n">
        <f aca="false">J304</f>
        <v>1</v>
      </c>
      <c r="T304" s="1" t="n">
        <f aca="false">K304</f>
        <v>0</v>
      </c>
      <c r="U304" s="1" t="n">
        <f aca="false">L304</f>
        <v>0</v>
      </c>
      <c r="W304" s="1" t="n">
        <f aca="false">E304</f>
        <v>7989</v>
      </c>
      <c r="X304" s="1" t="n">
        <f aca="false">D304</f>
        <v>63986.98</v>
      </c>
      <c r="Y304" s="1" t="n">
        <f aca="false">G304</f>
        <v>83.3</v>
      </c>
      <c r="Z304" s="1" t="n">
        <f aca="false">F304</f>
        <v>0.074</v>
      </c>
      <c r="AA304" s="1" t="n">
        <f aca="false">H304</f>
        <v>3.7</v>
      </c>
      <c r="AB304" s="1" t="n">
        <f aca="false">J304</f>
        <v>1</v>
      </c>
      <c r="AC304" s="1" t="n">
        <f aca="false">K304</f>
        <v>0</v>
      </c>
      <c r="AD304" s="1" t="n">
        <f aca="false">L304</f>
        <v>0</v>
      </c>
    </row>
    <row r="305" customFormat="false" ht="15" hidden="false" customHeight="false" outlineLevel="0" collapsed="false">
      <c r="A305" s="5" t="s">
        <v>110</v>
      </c>
      <c r="B305" s="5" t="s">
        <v>33</v>
      </c>
      <c r="C305" s="5" t="s">
        <v>41</v>
      </c>
      <c r="D305" s="5" t="n">
        <v>52843.75</v>
      </c>
      <c r="E305" s="5" t="n">
        <v>8268</v>
      </c>
      <c r="F305" s="5" t="n">
        <v>0.138</v>
      </c>
      <c r="G305" s="5" t="n">
        <v>87.3</v>
      </c>
      <c r="H305" s="5" t="n">
        <v>4.7</v>
      </c>
      <c r="I305" s="5" t="n">
        <v>730890.01</v>
      </c>
      <c r="J305" s="5" t="n">
        <v>1</v>
      </c>
      <c r="K305" s="5" t="n">
        <v>0</v>
      </c>
      <c r="L305" s="5" t="n">
        <v>0</v>
      </c>
      <c r="P305" s="1" t="n">
        <f aca="false">E305</f>
        <v>8268</v>
      </c>
      <c r="Q305" s="1" t="n">
        <f aca="false">D305</f>
        <v>52843.75</v>
      </c>
      <c r="R305" s="1" t="n">
        <f aca="false">G305</f>
        <v>87.3</v>
      </c>
      <c r="S305" s="1" t="n">
        <f aca="false">J305</f>
        <v>1</v>
      </c>
      <c r="T305" s="1" t="n">
        <f aca="false">K305</f>
        <v>0</v>
      </c>
      <c r="U305" s="1" t="n">
        <f aca="false">L305</f>
        <v>0</v>
      </c>
      <c r="W305" s="1" t="n">
        <f aca="false">E305</f>
        <v>8268</v>
      </c>
      <c r="X305" s="1" t="n">
        <f aca="false">D305</f>
        <v>52843.75</v>
      </c>
      <c r="Y305" s="1" t="n">
        <f aca="false">G305</f>
        <v>87.3</v>
      </c>
      <c r="Z305" s="1" t="n">
        <f aca="false">F305</f>
        <v>0.138</v>
      </c>
      <c r="AA305" s="1" t="n">
        <f aca="false">H305</f>
        <v>4.7</v>
      </c>
      <c r="AB305" s="1" t="n">
        <f aca="false">J305</f>
        <v>1</v>
      </c>
      <c r="AC305" s="1" t="n">
        <f aca="false">K305</f>
        <v>0</v>
      </c>
      <c r="AD305" s="1" t="n">
        <f aca="false">L305</f>
        <v>0</v>
      </c>
    </row>
    <row r="306" customFormat="false" ht="15" hidden="false" customHeight="false" outlineLevel="0" collapsed="false">
      <c r="A306" s="5" t="s">
        <v>110</v>
      </c>
      <c r="B306" s="5" t="s">
        <v>33</v>
      </c>
      <c r="C306" s="5" t="s">
        <v>41</v>
      </c>
      <c r="D306" s="5" t="n">
        <v>31997.25</v>
      </c>
      <c r="E306" s="5" t="n">
        <v>8183</v>
      </c>
      <c r="F306" s="5" t="n">
        <v>0.198</v>
      </c>
      <c r="G306" s="5" t="n">
        <v>93</v>
      </c>
      <c r="H306" s="5" t="n">
        <v>4.2</v>
      </c>
      <c r="I306" s="5" t="n">
        <v>780580.95</v>
      </c>
      <c r="J306" s="5" t="n">
        <v>1</v>
      </c>
      <c r="K306" s="5" t="n">
        <v>0</v>
      </c>
      <c r="L306" s="5" t="n">
        <v>0</v>
      </c>
      <c r="P306" s="1" t="n">
        <f aca="false">E306</f>
        <v>8183</v>
      </c>
      <c r="Q306" s="1" t="n">
        <f aca="false">D306</f>
        <v>31997.25</v>
      </c>
      <c r="R306" s="1" t="n">
        <f aca="false">G306</f>
        <v>93</v>
      </c>
      <c r="S306" s="1" t="n">
        <f aca="false">J306</f>
        <v>1</v>
      </c>
      <c r="T306" s="1" t="n">
        <f aca="false">K306</f>
        <v>0</v>
      </c>
      <c r="U306" s="1" t="n">
        <f aca="false">L306</f>
        <v>0</v>
      </c>
      <c r="W306" s="1" t="n">
        <f aca="false">E306</f>
        <v>8183</v>
      </c>
      <c r="X306" s="1" t="n">
        <f aca="false">D306</f>
        <v>31997.25</v>
      </c>
      <c r="Y306" s="1" t="n">
        <f aca="false">G306</f>
        <v>93</v>
      </c>
      <c r="Z306" s="1" t="n">
        <f aca="false">F306</f>
        <v>0.198</v>
      </c>
      <c r="AA306" s="1" t="n">
        <f aca="false">H306</f>
        <v>4.2</v>
      </c>
      <c r="AB306" s="1" t="n">
        <f aca="false">J306</f>
        <v>1</v>
      </c>
      <c r="AC306" s="1" t="n">
        <f aca="false">K306</f>
        <v>0</v>
      </c>
      <c r="AD306" s="1" t="n">
        <f aca="false">L306</f>
        <v>0</v>
      </c>
    </row>
    <row r="307" customFormat="false" ht="15" hidden="false" customHeight="false" outlineLevel="0" collapsed="false">
      <c r="A307" s="5" t="s">
        <v>111</v>
      </c>
      <c r="B307" s="5" t="s">
        <v>37</v>
      </c>
      <c r="C307" s="5" t="s">
        <v>29</v>
      </c>
      <c r="D307" s="5" t="n">
        <v>54948.02</v>
      </c>
      <c r="E307" s="5" t="n">
        <v>6534</v>
      </c>
      <c r="F307" s="5" t="n">
        <v>0.183</v>
      </c>
      <c r="G307" s="5" t="n">
        <v>94.5</v>
      </c>
      <c r="H307" s="5" t="n">
        <v>4</v>
      </c>
      <c r="I307" s="5" t="n">
        <v>727957.48</v>
      </c>
      <c r="J307" s="5" t="n">
        <v>0</v>
      </c>
      <c r="K307" s="5" t="n">
        <v>1</v>
      </c>
      <c r="L307" s="5" t="n">
        <v>0</v>
      </c>
      <c r="P307" s="1" t="n">
        <f aca="false">E307</f>
        <v>6534</v>
      </c>
      <c r="Q307" s="1" t="n">
        <f aca="false">D307</f>
        <v>54948.02</v>
      </c>
      <c r="R307" s="1" t="n">
        <f aca="false">G307</f>
        <v>94.5</v>
      </c>
      <c r="S307" s="1" t="n">
        <f aca="false">J307</f>
        <v>0</v>
      </c>
      <c r="T307" s="1" t="n">
        <f aca="false">K307</f>
        <v>1</v>
      </c>
      <c r="U307" s="1" t="n">
        <f aca="false">L307</f>
        <v>0</v>
      </c>
      <c r="W307" s="1" t="n">
        <f aca="false">E307</f>
        <v>6534</v>
      </c>
      <c r="X307" s="1" t="n">
        <f aca="false">D307</f>
        <v>54948.02</v>
      </c>
      <c r="Y307" s="1" t="n">
        <f aca="false">G307</f>
        <v>94.5</v>
      </c>
      <c r="Z307" s="1" t="n">
        <f aca="false">F307</f>
        <v>0.183</v>
      </c>
      <c r="AA307" s="1" t="n">
        <f aca="false">H307</f>
        <v>4</v>
      </c>
      <c r="AB307" s="1" t="n">
        <f aca="false">J307</f>
        <v>0</v>
      </c>
      <c r="AC307" s="1" t="n">
        <f aca="false">K307</f>
        <v>1</v>
      </c>
      <c r="AD307" s="1" t="n">
        <f aca="false">L307</f>
        <v>0</v>
      </c>
    </row>
    <row r="308" customFormat="false" ht="15" hidden="false" customHeight="false" outlineLevel="0" collapsed="false">
      <c r="A308" s="5" t="s">
        <v>111</v>
      </c>
      <c r="B308" s="5" t="s">
        <v>37</v>
      </c>
      <c r="C308" s="5" t="s">
        <v>29</v>
      </c>
      <c r="D308" s="5" t="n">
        <v>46146.24</v>
      </c>
      <c r="E308" s="5" t="n">
        <v>5804</v>
      </c>
      <c r="F308" s="5" t="n">
        <v>0.047</v>
      </c>
      <c r="G308" s="5" t="n">
        <v>86.9</v>
      </c>
      <c r="H308" s="5" t="n">
        <v>3.8</v>
      </c>
      <c r="I308" s="5" t="n">
        <v>538376</v>
      </c>
      <c r="J308" s="5" t="n">
        <v>0</v>
      </c>
      <c r="K308" s="5" t="n">
        <v>1</v>
      </c>
      <c r="L308" s="5" t="n">
        <v>0</v>
      </c>
      <c r="P308" s="1" t="n">
        <f aca="false">E308</f>
        <v>5804</v>
      </c>
      <c r="Q308" s="1" t="n">
        <f aca="false">D308</f>
        <v>46146.24</v>
      </c>
      <c r="R308" s="1" t="n">
        <f aca="false">G308</f>
        <v>86.9</v>
      </c>
      <c r="S308" s="1" t="n">
        <f aca="false">J308</f>
        <v>0</v>
      </c>
      <c r="T308" s="1" t="n">
        <f aca="false">K308</f>
        <v>1</v>
      </c>
      <c r="U308" s="1" t="n">
        <f aca="false">L308</f>
        <v>0</v>
      </c>
      <c r="W308" s="1" t="n">
        <f aca="false">E308</f>
        <v>5804</v>
      </c>
      <c r="X308" s="1" t="n">
        <f aca="false">D308</f>
        <v>46146.24</v>
      </c>
      <c r="Y308" s="1" t="n">
        <f aca="false">G308</f>
        <v>86.9</v>
      </c>
      <c r="Z308" s="1" t="n">
        <f aca="false">F308</f>
        <v>0.047</v>
      </c>
      <c r="AA308" s="1" t="n">
        <f aca="false">H308</f>
        <v>3.8</v>
      </c>
      <c r="AB308" s="1" t="n">
        <f aca="false">J308</f>
        <v>0</v>
      </c>
      <c r="AC308" s="1" t="n">
        <f aca="false">K308</f>
        <v>1</v>
      </c>
      <c r="AD308" s="1" t="n">
        <f aca="false">L308</f>
        <v>0</v>
      </c>
    </row>
    <row r="309" customFormat="false" ht="15" hidden="false" customHeight="false" outlineLevel="0" collapsed="false">
      <c r="A309" s="5" t="s">
        <v>111</v>
      </c>
      <c r="B309" s="5" t="s">
        <v>37</v>
      </c>
      <c r="C309" s="5" t="s">
        <v>29</v>
      </c>
      <c r="D309" s="5" t="n">
        <v>22387.26</v>
      </c>
      <c r="E309" s="5" t="n">
        <v>6301</v>
      </c>
      <c r="F309" s="5" t="n">
        <v>0.146</v>
      </c>
      <c r="G309" s="5" t="n">
        <v>85.9</v>
      </c>
      <c r="H309" s="5" t="n">
        <v>3.7</v>
      </c>
      <c r="I309" s="5" t="n">
        <v>665342.49</v>
      </c>
      <c r="J309" s="5" t="n">
        <v>0</v>
      </c>
      <c r="K309" s="5" t="n">
        <v>1</v>
      </c>
      <c r="L309" s="5" t="n">
        <v>0</v>
      </c>
      <c r="P309" s="1" t="n">
        <f aca="false">E309</f>
        <v>6301</v>
      </c>
      <c r="Q309" s="1" t="n">
        <f aca="false">D309</f>
        <v>22387.26</v>
      </c>
      <c r="R309" s="1" t="n">
        <f aca="false">G309</f>
        <v>85.9</v>
      </c>
      <c r="S309" s="1" t="n">
        <f aca="false">J309</f>
        <v>0</v>
      </c>
      <c r="T309" s="1" t="n">
        <f aca="false">K309</f>
        <v>1</v>
      </c>
      <c r="U309" s="1" t="n">
        <f aca="false">L309</f>
        <v>0</v>
      </c>
      <c r="W309" s="1" t="n">
        <f aca="false">E309</f>
        <v>6301</v>
      </c>
      <c r="X309" s="1" t="n">
        <f aca="false">D309</f>
        <v>22387.26</v>
      </c>
      <c r="Y309" s="1" t="n">
        <f aca="false">G309</f>
        <v>85.9</v>
      </c>
      <c r="Z309" s="1" t="n">
        <f aca="false">F309</f>
        <v>0.146</v>
      </c>
      <c r="AA309" s="1" t="n">
        <f aca="false">H309</f>
        <v>3.7</v>
      </c>
      <c r="AB309" s="1" t="n">
        <f aca="false">J309</f>
        <v>0</v>
      </c>
      <c r="AC309" s="1" t="n">
        <f aca="false">K309</f>
        <v>1</v>
      </c>
      <c r="AD309" s="1" t="n">
        <f aca="false">L309</f>
        <v>0</v>
      </c>
    </row>
    <row r="310" customFormat="false" ht="15" hidden="false" customHeight="false" outlineLevel="0" collapsed="false">
      <c r="A310" s="5" t="s">
        <v>111</v>
      </c>
      <c r="B310" s="5" t="s">
        <v>37</v>
      </c>
      <c r="C310" s="5" t="s">
        <v>29</v>
      </c>
      <c r="D310" s="5" t="n">
        <v>60684.05</v>
      </c>
      <c r="E310" s="5" t="n">
        <v>6399</v>
      </c>
      <c r="F310" s="5" t="n">
        <v>0.075</v>
      </c>
      <c r="G310" s="5" t="n">
        <v>99</v>
      </c>
      <c r="H310" s="5" t="n">
        <v>3.5</v>
      </c>
      <c r="I310" s="5" t="n">
        <v>651164.18</v>
      </c>
      <c r="J310" s="5" t="n">
        <v>0</v>
      </c>
      <c r="K310" s="5" t="n">
        <v>1</v>
      </c>
      <c r="L310" s="5" t="n">
        <v>0</v>
      </c>
      <c r="P310" s="1" t="n">
        <f aca="false">E310</f>
        <v>6399</v>
      </c>
      <c r="Q310" s="1" t="n">
        <f aca="false">D310</f>
        <v>60684.05</v>
      </c>
      <c r="R310" s="1" t="n">
        <f aca="false">G310</f>
        <v>99</v>
      </c>
      <c r="S310" s="1" t="n">
        <f aca="false">J310</f>
        <v>0</v>
      </c>
      <c r="T310" s="1" t="n">
        <f aca="false">K310</f>
        <v>1</v>
      </c>
      <c r="U310" s="1" t="n">
        <f aca="false">L310</f>
        <v>0</v>
      </c>
      <c r="W310" s="1" t="n">
        <f aca="false">E310</f>
        <v>6399</v>
      </c>
      <c r="X310" s="1" t="n">
        <f aca="false">D310</f>
        <v>60684.05</v>
      </c>
      <c r="Y310" s="1" t="n">
        <f aca="false">G310</f>
        <v>99</v>
      </c>
      <c r="Z310" s="1" t="n">
        <f aca="false">F310</f>
        <v>0.075</v>
      </c>
      <c r="AA310" s="1" t="n">
        <f aca="false">H310</f>
        <v>3.5</v>
      </c>
      <c r="AB310" s="1" t="n">
        <f aca="false">J310</f>
        <v>0</v>
      </c>
      <c r="AC310" s="1" t="n">
        <f aca="false">K310</f>
        <v>1</v>
      </c>
      <c r="AD310" s="1" t="n">
        <f aca="false">L310</f>
        <v>0</v>
      </c>
    </row>
    <row r="311" customFormat="false" ht="15" hidden="false" customHeight="false" outlineLevel="0" collapsed="false">
      <c r="A311" s="5" t="s">
        <v>112</v>
      </c>
      <c r="B311" s="5" t="s">
        <v>37</v>
      </c>
      <c r="C311" s="5" t="s">
        <v>31</v>
      </c>
      <c r="D311" s="5" t="n">
        <v>48465.6</v>
      </c>
      <c r="E311" s="5" t="n">
        <v>5759</v>
      </c>
      <c r="F311" s="5" t="n">
        <v>0.154</v>
      </c>
      <c r="G311" s="5" t="n">
        <v>87.5</v>
      </c>
      <c r="H311" s="5" t="n">
        <v>4</v>
      </c>
      <c r="I311" s="5" t="n">
        <v>628538.3</v>
      </c>
      <c r="J311" s="5" t="n">
        <v>0</v>
      </c>
      <c r="K311" s="5" t="n">
        <v>0</v>
      </c>
      <c r="L311" s="5" t="n">
        <v>0</v>
      </c>
      <c r="P311" s="1" t="n">
        <f aca="false">E311</f>
        <v>5759</v>
      </c>
      <c r="Q311" s="1" t="n">
        <f aca="false">D311</f>
        <v>48465.6</v>
      </c>
      <c r="R311" s="1" t="n">
        <f aca="false">G311</f>
        <v>87.5</v>
      </c>
      <c r="S311" s="1" t="n">
        <f aca="false">J311</f>
        <v>0</v>
      </c>
      <c r="T311" s="1" t="n">
        <f aca="false">K311</f>
        <v>0</v>
      </c>
      <c r="U311" s="1" t="n">
        <f aca="false">L311</f>
        <v>0</v>
      </c>
      <c r="W311" s="1" t="n">
        <f aca="false">E311</f>
        <v>5759</v>
      </c>
      <c r="X311" s="1" t="n">
        <f aca="false">D311</f>
        <v>48465.6</v>
      </c>
      <c r="Y311" s="1" t="n">
        <f aca="false">G311</f>
        <v>87.5</v>
      </c>
      <c r="Z311" s="1" t="n">
        <f aca="false">F311</f>
        <v>0.154</v>
      </c>
      <c r="AA311" s="1" t="n">
        <f aca="false">H311</f>
        <v>4</v>
      </c>
      <c r="AB311" s="1" t="n">
        <f aca="false">J311</f>
        <v>0</v>
      </c>
      <c r="AC311" s="1" t="n">
        <f aca="false">K311</f>
        <v>0</v>
      </c>
      <c r="AD311" s="1" t="n">
        <f aca="false">L311</f>
        <v>0</v>
      </c>
    </row>
    <row r="312" customFormat="false" ht="15" hidden="false" customHeight="false" outlineLevel="0" collapsed="false">
      <c r="A312" s="5" t="s">
        <v>112</v>
      </c>
      <c r="B312" s="5" t="s">
        <v>37</v>
      </c>
      <c r="C312" s="5" t="s">
        <v>31</v>
      </c>
      <c r="D312" s="5" t="n">
        <v>23702.38</v>
      </c>
      <c r="E312" s="5" t="n">
        <v>5285</v>
      </c>
      <c r="F312" s="5" t="n">
        <v>0.167</v>
      </c>
      <c r="G312" s="5" t="n">
        <v>79.7</v>
      </c>
      <c r="H312" s="5" t="n">
        <v>4.3</v>
      </c>
      <c r="I312" s="5" t="n">
        <v>536524.84</v>
      </c>
      <c r="J312" s="5" t="n">
        <v>0</v>
      </c>
      <c r="K312" s="5" t="n">
        <v>0</v>
      </c>
      <c r="L312" s="5" t="n">
        <v>0</v>
      </c>
      <c r="P312" s="1" t="n">
        <f aca="false">E312</f>
        <v>5285</v>
      </c>
      <c r="Q312" s="1" t="n">
        <f aca="false">D312</f>
        <v>23702.38</v>
      </c>
      <c r="R312" s="1" t="n">
        <f aca="false">G312</f>
        <v>79.7</v>
      </c>
      <c r="S312" s="1" t="n">
        <f aca="false">J312</f>
        <v>0</v>
      </c>
      <c r="T312" s="1" t="n">
        <f aca="false">K312</f>
        <v>0</v>
      </c>
      <c r="U312" s="1" t="n">
        <f aca="false">L312</f>
        <v>0</v>
      </c>
      <c r="W312" s="1" t="n">
        <f aca="false">E312</f>
        <v>5285</v>
      </c>
      <c r="X312" s="1" t="n">
        <f aca="false">D312</f>
        <v>23702.38</v>
      </c>
      <c r="Y312" s="1" t="n">
        <f aca="false">G312</f>
        <v>79.7</v>
      </c>
      <c r="Z312" s="1" t="n">
        <f aca="false">F312</f>
        <v>0.167</v>
      </c>
      <c r="AA312" s="1" t="n">
        <f aca="false">H312</f>
        <v>4.3</v>
      </c>
      <c r="AB312" s="1" t="n">
        <f aca="false">J312</f>
        <v>0</v>
      </c>
      <c r="AC312" s="1" t="n">
        <f aca="false">K312</f>
        <v>0</v>
      </c>
      <c r="AD312" s="1" t="n">
        <f aca="false">L312</f>
        <v>0</v>
      </c>
    </row>
    <row r="313" customFormat="false" ht="15" hidden="false" customHeight="false" outlineLevel="0" collapsed="false">
      <c r="A313" s="5" t="s">
        <v>112</v>
      </c>
      <c r="B313" s="5" t="s">
        <v>37</v>
      </c>
      <c r="C313" s="5" t="s">
        <v>31</v>
      </c>
      <c r="D313" s="5" t="n">
        <v>54322.94</v>
      </c>
      <c r="E313" s="5" t="n">
        <v>5434</v>
      </c>
      <c r="F313" s="5" t="n">
        <v>0.2</v>
      </c>
      <c r="G313" s="5" t="n">
        <v>85.7</v>
      </c>
      <c r="H313" s="5" t="n">
        <v>4.2</v>
      </c>
      <c r="I313" s="5" t="n">
        <v>621677.3</v>
      </c>
      <c r="J313" s="5" t="n">
        <v>0</v>
      </c>
      <c r="K313" s="5" t="n">
        <v>0</v>
      </c>
      <c r="L313" s="5" t="n">
        <v>0</v>
      </c>
      <c r="P313" s="1" t="n">
        <f aca="false">E313</f>
        <v>5434</v>
      </c>
      <c r="Q313" s="1" t="n">
        <f aca="false">D313</f>
        <v>54322.94</v>
      </c>
      <c r="R313" s="1" t="n">
        <f aca="false">G313</f>
        <v>85.7</v>
      </c>
      <c r="S313" s="1" t="n">
        <f aca="false">J313</f>
        <v>0</v>
      </c>
      <c r="T313" s="1" t="n">
        <f aca="false">K313</f>
        <v>0</v>
      </c>
      <c r="U313" s="1" t="n">
        <f aca="false">L313</f>
        <v>0</v>
      </c>
      <c r="W313" s="1" t="n">
        <f aca="false">E313</f>
        <v>5434</v>
      </c>
      <c r="X313" s="1" t="n">
        <f aca="false">D313</f>
        <v>54322.94</v>
      </c>
      <c r="Y313" s="1" t="n">
        <f aca="false">G313</f>
        <v>85.7</v>
      </c>
      <c r="Z313" s="1" t="n">
        <f aca="false">F313</f>
        <v>0.2</v>
      </c>
      <c r="AA313" s="1" t="n">
        <f aca="false">H313</f>
        <v>4.2</v>
      </c>
      <c r="AB313" s="1" t="n">
        <f aca="false">J313</f>
        <v>0</v>
      </c>
      <c r="AC313" s="1" t="n">
        <f aca="false">K313</f>
        <v>0</v>
      </c>
      <c r="AD313" s="1" t="n">
        <f aca="false">L313</f>
        <v>0</v>
      </c>
    </row>
    <row r="314" customFormat="false" ht="15" hidden="false" customHeight="false" outlineLevel="0" collapsed="false">
      <c r="A314" s="5" t="s">
        <v>112</v>
      </c>
      <c r="B314" s="5" t="s">
        <v>37</v>
      </c>
      <c r="C314" s="5" t="s">
        <v>31</v>
      </c>
      <c r="D314" s="5" t="n">
        <v>86026.58</v>
      </c>
      <c r="E314" s="5" t="n">
        <v>7479</v>
      </c>
      <c r="F314" s="5" t="n">
        <v>0.142</v>
      </c>
      <c r="G314" s="5" t="n">
        <v>89</v>
      </c>
      <c r="H314" s="5" t="n">
        <v>3.92467948717949</v>
      </c>
      <c r="I314" s="5" t="n">
        <v>771129.07</v>
      </c>
      <c r="J314" s="5" t="n">
        <v>0</v>
      </c>
      <c r="K314" s="5" t="n">
        <v>0</v>
      </c>
      <c r="L314" s="5" t="n">
        <v>0</v>
      </c>
      <c r="P314" s="1" t="n">
        <f aca="false">E314</f>
        <v>7479</v>
      </c>
      <c r="Q314" s="1" t="n">
        <f aca="false">D314</f>
        <v>86026.58</v>
      </c>
      <c r="R314" s="1" t="n">
        <f aca="false">G314</f>
        <v>89</v>
      </c>
      <c r="S314" s="1" t="n">
        <f aca="false">J314</f>
        <v>0</v>
      </c>
      <c r="T314" s="1" t="n">
        <f aca="false">K314</f>
        <v>0</v>
      </c>
      <c r="U314" s="1" t="n">
        <f aca="false">L314</f>
        <v>0</v>
      </c>
      <c r="W314" s="1" t="n">
        <f aca="false">E314</f>
        <v>7479</v>
      </c>
      <c r="X314" s="1" t="n">
        <f aca="false">D314</f>
        <v>86026.58</v>
      </c>
      <c r="Y314" s="1" t="n">
        <f aca="false">G314</f>
        <v>89</v>
      </c>
      <c r="Z314" s="1" t="n">
        <f aca="false">F314</f>
        <v>0.142</v>
      </c>
      <c r="AA314" s="1" t="n">
        <f aca="false">H314</f>
        <v>3.92467948717949</v>
      </c>
      <c r="AB314" s="1" t="n">
        <f aca="false">J314</f>
        <v>0</v>
      </c>
      <c r="AC314" s="1" t="n">
        <f aca="false">K314</f>
        <v>0</v>
      </c>
      <c r="AD314" s="1" t="n">
        <f aca="false">L314</f>
        <v>0</v>
      </c>
    </row>
    <row r="315" customFormat="false" ht="15" hidden="false" customHeight="false" outlineLevel="0" collapsed="false">
      <c r="A315" s="5" t="s">
        <v>113</v>
      </c>
      <c r="B315" s="5" t="s">
        <v>33</v>
      </c>
      <c r="C315" s="5" t="s">
        <v>29</v>
      </c>
      <c r="D315" s="5" t="n">
        <v>78967.52</v>
      </c>
      <c r="E315" s="5" t="n">
        <v>6164</v>
      </c>
      <c r="F315" s="5" t="n">
        <v>0.021</v>
      </c>
      <c r="G315" s="5" t="n">
        <v>85.5</v>
      </c>
      <c r="H315" s="5" t="n">
        <v>3.4</v>
      </c>
      <c r="I315" s="5" t="n">
        <v>702052.47</v>
      </c>
      <c r="J315" s="5" t="n">
        <v>0</v>
      </c>
      <c r="K315" s="5" t="n">
        <v>1</v>
      </c>
      <c r="L315" s="5" t="n">
        <v>0</v>
      </c>
      <c r="P315" s="1" t="n">
        <f aca="false">E315</f>
        <v>6164</v>
      </c>
      <c r="Q315" s="1" t="n">
        <f aca="false">D315</f>
        <v>78967.52</v>
      </c>
      <c r="R315" s="1" t="n">
        <f aca="false">G315</f>
        <v>85.5</v>
      </c>
      <c r="S315" s="1" t="n">
        <f aca="false">J315</f>
        <v>0</v>
      </c>
      <c r="T315" s="1" t="n">
        <f aca="false">K315</f>
        <v>1</v>
      </c>
      <c r="U315" s="1" t="n">
        <f aca="false">L315</f>
        <v>0</v>
      </c>
      <c r="W315" s="1" t="n">
        <f aca="false">E315</f>
        <v>6164</v>
      </c>
      <c r="X315" s="1" t="n">
        <f aca="false">D315</f>
        <v>78967.52</v>
      </c>
      <c r="Y315" s="1" t="n">
        <f aca="false">G315</f>
        <v>85.5</v>
      </c>
      <c r="Z315" s="1" t="n">
        <f aca="false">F315</f>
        <v>0.021</v>
      </c>
      <c r="AA315" s="1" t="n">
        <f aca="false">H315</f>
        <v>3.4</v>
      </c>
      <c r="AB315" s="1" t="n">
        <f aca="false">J315</f>
        <v>0</v>
      </c>
      <c r="AC315" s="1" t="n">
        <f aca="false">K315</f>
        <v>1</v>
      </c>
      <c r="AD315" s="1" t="n">
        <f aca="false">L315</f>
        <v>0</v>
      </c>
    </row>
    <row r="316" customFormat="false" ht="15" hidden="false" customHeight="false" outlineLevel="0" collapsed="false">
      <c r="A316" s="5" t="s">
        <v>113</v>
      </c>
      <c r="B316" s="5" t="s">
        <v>33</v>
      </c>
      <c r="C316" s="5" t="s">
        <v>29</v>
      </c>
      <c r="D316" s="5" t="n">
        <v>46767.99</v>
      </c>
      <c r="E316" s="5" t="n">
        <v>7973</v>
      </c>
      <c r="F316" s="5" t="n">
        <v>0.183</v>
      </c>
      <c r="G316" s="5" t="n">
        <v>94.8</v>
      </c>
      <c r="H316" s="5" t="n">
        <v>3.92467948717949</v>
      </c>
      <c r="I316" s="5" t="n">
        <v>688368.46</v>
      </c>
      <c r="J316" s="5" t="n">
        <v>0</v>
      </c>
      <c r="K316" s="5" t="n">
        <v>1</v>
      </c>
      <c r="L316" s="5" t="n">
        <v>0</v>
      </c>
      <c r="P316" s="1" t="n">
        <f aca="false">E316</f>
        <v>7973</v>
      </c>
      <c r="Q316" s="1" t="n">
        <f aca="false">D316</f>
        <v>46767.99</v>
      </c>
      <c r="R316" s="1" t="n">
        <f aca="false">G316</f>
        <v>94.8</v>
      </c>
      <c r="S316" s="1" t="n">
        <f aca="false">J316</f>
        <v>0</v>
      </c>
      <c r="T316" s="1" t="n">
        <f aca="false">K316</f>
        <v>1</v>
      </c>
      <c r="U316" s="1" t="n">
        <f aca="false">L316</f>
        <v>0</v>
      </c>
      <c r="W316" s="1" t="n">
        <f aca="false">E316</f>
        <v>7973</v>
      </c>
      <c r="X316" s="1" t="n">
        <f aca="false">D316</f>
        <v>46767.99</v>
      </c>
      <c r="Y316" s="1" t="n">
        <f aca="false">G316</f>
        <v>94.8</v>
      </c>
      <c r="Z316" s="1" t="n">
        <f aca="false">F316</f>
        <v>0.183</v>
      </c>
      <c r="AA316" s="1" t="n">
        <f aca="false">H316</f>
        <v>3.92467948717949</v>
      </c>
      <c r="AB316" s="1" t="n">
        <f aca="false">J316</f>
        <v>0</v>
      </c>
      <c r="AC316" s="1" t="n">
        <f aca="false">K316</f>
        <v>1</v>
      </c>
      <c r="AD316" s="1" t="n">
        <f aca="false">L316</f>
        <v>0</v>
      </c>
    </row>
    <row r="317" customFormat="false" ht="15" hidden="false" customHeight="false" outlineLevel="0" collapsed="false">
      <c r="A317" s="5" t="s">
        <v>113</v>
      </c>
      <c r="B317" s="5" t="s">
        <v>33</v>
      </c>
      <c r="C317" s="5" t="s">
        <v>29</v>
      </c>
      <c r="D317" s="5" t="n">
        <v>62507.16</v>
      </c>
      <c r="E317" s="5" t="n">
        <v>6000</v>
      </c>
      <c r="F317" s="5" t="n">
        <v>0.091</v>
      </c>
      <c r="G317" s="5" t="n">
        <v>98.2</v>
      </c>
      <c r="H317" s="5" t="n">
        <v>3.9</v>
      </c>
      <c r="I317" s="5" t="n">
        <v>712375.77</v>
      </c>
      <c r="J317" s="5" t="n">
        <v>0</v>
      </c>
      <c r="K317" s="5" t="n">
        <v>1</v>
      </c>
      <c r="L317" s="5" t="n">
        <v>0</v>
      </c>
      <c r="P317" s="1" t="n">
        <f aca="false">E317</f>
        <v>6000</v>
      </c>
      <c r="Q317" s="1" t="n">
        <f aca="false">D317</f>
        <v>62507.16</v>
      </c>
      <c r="R317" s="1" t="n">
        <f aca="false">G317</f>
        <v>98.2</v>
      </c>
      <c r="S317" s="1" t="n">
        <f aca="false">J317</f>
        <v>0</v>
      </c>
      <c r="T317" s="1" t="n">
        <f aca="false">K317</f>
        <v>1</v>
      </c>
      <c r="U317" s="1" t="n">
        <f aca="false">L317</f>
        <v>0</v>
      </c>
      <c r="W317" s="1" t="n">
        <f aca="false">E317</f>
        <v>6000</v>
      </c>
      <c r="X317" s="1" t="n">
        <f aca="false">D317</f>
        <v>62507.16</v>
      </c>
      <c r="Y317" s="1" t="n">
        <f aca="false">G317</f>
        <v>98.2</v>
      </c>
      <c r="Z317" s="1" t="n">
        <f aca="false">F317</f>
        <v>0.091</v>
      </c>
      <c r="AA317" s="1" t="n">
        <f aca="false">H317</f>
        <v>3.9</v>
      </c>
      <c r="AB317" s="1" t="n">
        <f aca="false">J317</f>
        <v>0</v>
      </c>
      <c r="AC317" s="1" t="n">
        <f aca="false">K317</f>
        <v>1</v>
      </c>
      <c r="AD317" s="1" t="n">
        <f aca="false">L317</f>
        <v>0</v>
      </c>
    </row>
    <row r="318" customFormat="false" ht="15" hidden="false" customHeight="false" outlineLevel="0" collapsed="false">
      <c r="A318" s="5" t="s">
        <v>113</v>
      </c>
      <c r="B318" s="5" t="s">
        <v>33</v>
      </c>
      <c r="C318" s="5" t="s">
        <v>29</v>
      </c>
      <c r="D318" s="5" t="n">
        <v>66456.28</v>
      </c>
      <c r="E318" s="5" t="n">
        <v>9967</v>
      </c>
      <c r="F318" s="5" t="n">
        <v>0.108</v>
      </c>
      <c r="G318" s="5" t="n">
        <v>94.7</v>
      </c>
      <c r="H318" s="5" t="n">
        <v>4.2</v>
      </c>
      <c r="I318" s="5" t="n">
        <v>844710.67</v>
      </c>
      <c r="J318" s="5" t="n">
        <v>0</v>
      </c>
      <c r="K318" s="5" t="n">
        <v>1</v>
      </c>
      <c r="L318" s="5" t="n">
        <v>0</v>
      </c>
      <c r="P318" s="1" t="n">
        <f aca="false">E318</f>
        <v>9967</v>
      </c>
      <c r="Q318" s="1" t="n">
        <f aca="false">D318</f>
        <v>66456.28</v>
      </c>
      <c r="R318" s="1" t="n">
        <f aca="false">G318</f>
        <v>94.7</v>
      </c>
      <c r="S318" s="1" t="n">
        <f aca="false">J318</f>
        <v>0</v>
      </c>
      <c r="T318" s="1" t="n">
        <f aca="false">K318</f>
        <v>1</v>
      </c>
      <c r="U318" s="1" t="n">
        <f aca="false">L318</f>
        <v>0</v>
      </c>
      <c r="W318" s="1" t="n">
        <f aca="false">E318</f>
        <v>9967</v>
      </c>
      <c r="X318" s="1" t="n">
        <f aca="false">D318</f>
        <v>66456.28</v>
      </c>
      <c r="Y318" s="1" t="n">
        <f aca="false">G318</f>
        <v>94.7</v>
      </c>
      <c r="Z318" s="1" t="n">
        <f aca="false">F318</f>
        <v>0.108</v>
      </c>
      <c r="AA318" s="1" t="n">
        <f aca="false">H318</f>
        <v>4.2</v>
      </c>
      <c r="AB318" s="1" t="n">
        <f aca="false">J318</f>
        <v>0</v>
      </c>
      <c r="AC318" s="1" t="n">
        <f aca="false">K318</f>
        <v>1</v>
      </c>
      <c r="AD318" s="1" t="n">
        <f aca="false">L318</f>
        <v>0</v>
      </c>
    </row>
    <row r="319" customFormat="false" ht="15" hidden="false" customHeight="false" outlineLevel="0" collapsed="false">
      <c r="A319" s="5" t="s">
        <v>114</v>
      </c>
      <c r="B319" s="5" t="s">
        <v>28</v>
      </c>
      <c r="C319" s="5" t="s">
        <v>29</v>
      </c>
      <c r="D319" s="5" t="n">
        <v>76614.32</v>
      </c>
      <c r="E319" s="5" t="n">
        <v>5639</v>
      </c>
      <c r="F319" s="5" t="n">
        <v>0.174</v>
      </c>
      <c r="G319" s="5" t="n">
        <v>92.9</v>
      </c>
      <c r="H319" s="5" t="n">
        <v>4</v>
      </c>
      <c r="I319" s="5" t="n">
        <v>620264.2</v>
      </c>
      <c r="J319" s="5" t="n">
        <v>0</v>
      </c>
      <c r="K319" s="5" t="n">
        <v>1</v>
      </c>
      <c r="L319" s="5" t="n">
        <v>0</v>
      </c>
      <c r="P319" s="1" t="n">
        <f aca="false">E319</f>
        <v>5639</v>
      </c>
      <c r="Q319" s="1" t="n">
        <f aca="false">D319</f>
        <v>76614.32</v>
      </c>
      <c r="R319" s="1" t="n">
        <f aca="false">G319</f>
        <v>92.9</v>
      </c>
      <c r="S319" s="1" t="n">
        <f aca="false">J319</f>
        <v>0</v>
      </c>
      <c r="T319" s="1" t="n">
        <f aca="false">K319</f>
        <v>1</v>
      </c>
      <c r="U319" s="1" t="n">
        <f aca="false">L319</f>
        <v>0</v>
      </c>
      <c r="W319" s="1" t="n">
        <f aca="false">E319</f>
        <v>5639</v>
      </c>
      <c r="X319" s="1" t="n">
        <f aca="false">D319</f>
        <v>76614.32</v>
      </c>
      <c r="Y319" s="1" t="n">
        <f aca="false">G319</f>
        <v>92.9</v>
      </c>
      <c r="Z319" s="1" t="n">
        <f aca="false">F319</f>
        <v>0.174</v>
      </c>
      <c r="AA319" s="1" t="n">
        <f aca="false">H319</f>
        <v>4</v>
      </c>
      <c r="AB319" s="1" t="n">
        <f aca="false">J319</f>
        <v>0</v>
      </c>
      <c r="AC319" s="1" t="n">
        <f aca="false">K319</f>
        <v>1</v>
      </c>
      <c r="AD319" s="1" t="n">
        <f aca="false">L319</f>
        <v>0</v>
      </c>
    </row>
    <row r="320" customFormat="false" ht="15" hidden="false" customHeight="false" outlineLevel="0" collapsed="false">
      <c r="A320" s="5" t="s">
        <v>114</v>
      </c>
      <c r="B320" s="5" t="s">
        <v>28</v>
      </c>
      <c r="C320" s="5" t="s">
        <v>29</v>
      </c>
      <c r="D320" s="5" t="n">
        <v>24088.06</v>
      </c>
      <c r="E320" s="5" t="n">
        <v>3466</v>
      </c>
      <c r="F320" s="5" t="n">
        <v>0</v>
      </c>
      <c r="G320" s="5" t="n">
        <v>88</v>
      </c>
      <c r="H320" s="5" t="n">
        <v>3.8</v>
      </c>
      <c r="I320" s="5" t="n">
        <v>536845.42</v>
      </c>
      <c r="J320" s="5" t="n">
        <v>0</v>
      </c>
      <c r="K320" s="5" t="n">
        <v>1</v>
      </c>
      <c r="L320" s="5" t="n">
        <v>0</v>
      </c>
      <c r="P320" s="1" t="n">
        <f aca="false">E320</f>
        <v>3466</v>
      </c>
      <c r="Q320" s="1" t="n">
        <f aca="false">D320</f>
        <v>24088.06</v>
      </c>
      <c r="R320" s="1" t="n">
        <f aca="false">G320</f>
        <v>88</v>
      </c>
      <c r="S320" s="1" t="n">
        <f aca="false">J320</f>
        <v>0</v>
      </c>
      <c r="T320" s="1" t="n">
        <f aca="false">K320</f>
        <v>1</v>
      </c>
      <c r="U320" s="1" t="n">
        <f aca="false">L320</f>
        <v>0</v>
      </c>
      <c r="W320" s="1" t="n">
        <f aca="false">E320</f>
        <v>3466</v>
      </c>
      <c r="X320" s="1" t="n">
        <f aca="false">D320</f>
        <v>24088.06</v>
      </c>
      <c r="Y320" s="1" t="n">
        <f aca="false">G320</f>
        <v>88</v>
      </c>
      <c r="Z320" s="1" t="n">
        <f aca="false">F320</f>
        <v>0</v>
      </c>
      <c r="AA320" s="1" t="n">
        <f aca="false">H320</f>
        <v>3.8</v>
      </c>
      <c r="AB320" s="1" t="n">
        <f aca="false">J320</f>
        <v>0</v>
      </c>
      <c r="AC320" s="1" t="n">
        <f aca="false">K320</f>
        <v>1</v>
      </c>
      <c r="AD320" s="1" t="n">
        <f aca="false">L320</f>
        <v>0</v>
      </c>
    </row>
    <row r="321" customFormat="false" ht="15" hidden="false" customHeight="false" outlineLevel="0" collapsed="false">
      <c r="A321" s="5" t="s">
        <v>114</v>
      </c>
      <c r="B321" s="5" t="s">
        <v>28</v>
      </c>
      <c r="C321" s="5" t="s">
        <v>29</v>
      </c>
      <c r="D321" s="5" t="n">
        <v>81902.58</v>
      </c>
      <c r="E321" s="5" t="n">
        <v>7775</v>
      </c>
      <c r="F321" s="5" t="n">
        <v>0.215</v>
      </c>
      <c r="G321" s="5" t="n">
        <v>85.2</v>
      </c>
      <c r="H321" s="5" t="n">
        <v>4.2</v>
      </c>
      <c r="I321" s="5" t="n">
        <v>726776.22</v>
      </c>
      <c r="J321" s="5" t="n">
        <v>0</v>
      </c>
      <c r="K321" s="5" t="n">
        <v>1</v>
      </c>
      <c r="L321" s="5" t="n">
        <v>0</v>
      </c>
      <c r="P321" s="1" t="n">
        <f aca="false">E321</f>
        <v>7775</v>
      </c>
      <c r="Q321" s="1" t="n">
        <f aca="false">D321</f>
        <v>81902.58</v>
      </c>
      <c r="R321" s="1" t="n">
        <f aca="false">G321</f>
        <v>85.2</v>
      </c>
      <c r="S321" s="1" t="n">
        <f aca="false">J321</f>
        <v>0</v>
      </c>
      <c r="T321" s="1" t="n">
        <f aca="false">K321</f>
        <v>1</v>
      </c>
      <c r="U321" s="1" t="n">
        <f aca="false">L321</f>
        <v>0</v>
      </c>
      <c r="W321" s="1" t="n">
        <f aca="false">E321</f>
        <v>7775</v>
      </c>
      <c r="X321" s="1" t="n">
        <f aca="false">D321</f>
        <v>81902.58</v>
      </c>
      <c r="Y321" s="1" t="n">
        <f aca="false">G321</f>
        <v>85.2</v>
      </c>
      <c r="Z321" s="1" t="n">
        <f aca="false">F321</f>
        <v>0.215</v>
      </c>
      <c r="AA321" s="1" t="n">
        <f aca="false">H321</f>
        <v>4.2</v>
      </c>
      <c r="AB321" s="1" t="n">
        <f aca="false">J321</f>
        <v>0</v>
      </c>
      <c r="AC321" s="1" t="n">
        <f aca="false">K321</f>
        <v>1</v>
      </c>
      <c r="AD321" s="1" t="n">
        <f aca="false">L321</f>
        <v>0</v>
      </c>
    </row>
    <row r="322" customFormat="false" ht="15" hidden="false" customHeight="false" outlineLevel="0" collapsed="false">
      <c r="A322" s="5" t="s">
        <v>114</v>
      </c>
      <c r="B322" s="5" t="s">
        <v>28</v>
      </c>
      <c r="C322" s="5" t="s">
        <v>29</v>
      </c>
      <c r="D322" s="5" t="n">
        <v>40553.11</v>
      </c>
      <c r="E322" s="5" t="n">
        <v>5317</v>
      </c>
      <c r="F322" s="5" t="n">
        <v>0.165</v>
      </c>
      <c r="G322" s="5" t="n">
        <v>84.3</v>
      </c>
      <c r="H322" s="5" t="n">
        <v>4.1</v>
      </c>
      <c r="I322" s="5" t="n">
        <v>559660.84</v>
      </c>
      <c r="J322" s="5" t="n">
        <v>0</v>
      </c>
      <c r="K322" s="5" t="n">
        <v>1</v>
      </c>
      <c r="L322" s="5" t="n">
        <v>0</v>
      </c>
      <c r="P322" s="1" t="n">
        <f aca="false">E322</f>
        <v>5317</v>
      </c>
      <c r="Q322" s="1" t="n">
        <f aca="false">D322</f>
        <v>40553.11</v>
      </c>
      <c r="R322" s="1" t="n">
        <f aca="false">G322</f>
        <v>84.3</v>
      </c>
      <c r="S322" s="1" t="n">
        <f aca="false">J322</f>
        <v>0</v>
      </c>
      <c r="T322" s="1" t="n">
        <f aca="false">K322</f>
        <v>1</v>
      </c>
      <c r="U322" s="1" t="n">
        <f aca="false">L322</f>
        <v>0</v>
      </c>
      <c r="W322" s="1" t="n">
        <f aca="false">E322</f>
        <v>5317</v>
      </c>
      <c r="X322" s="1" t="n">
        <f aca="false">D322</f>
        <v>40553.11</v>
      </c>
      <c r="Y322" s="1" t="n">
        <f aca="false">G322</f>
        <v>84.3</v>
      </c>
      <c r="Z322" s="1" t="n">
        <f aca="false">F322</f>
        <v>0.165</v>
      </c>
      <c r="AA322" s="1" t="n">
        <f aca="false">H322</f>
        <v>4.1</v>
      </c>
      <c r="AB322" s="1" t="n">
        <f aca="false">J322</f>
        <v>0</v>
      </c>
      <c r="AC322" s="1" t="n">
        <f aca="false">K322</f>
        <v>1</v>
      </c>
      <c r="AD322" s="1" t="n">
        <f aca="false">L322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46"/>
    <col collapsed="false" customWidth="true" hidden="false" outlineLevel="0" max="3" min="3" style="1" width="8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30"/>
  </cols>
  <sheetData>
    <row r="1" customFormat="false" ht="31.5" hidden="false" customHeight="true" outlineLevel="0" collapsed="false">
      <c r="A1" s="6" t="s">
        <v>115</v>
      </c>
      <c r="B1" s="6"/>
      <c r="C1" s="6"/>
      <c r="D1" s="6"/>
      <c r="E1" s="6"/>
      <c r="F1" s="6"/>
      <c r="G1" s="6"/>
    </row>
    <row r="3" customFormat="false" ht="30" hidden="false" customHeight="true" outlineLevel="0" collapsed="false">
      <c r="A3" s="7" t="s">
        <v>116</v>
      </c>
      <c r="B3" s="7"/>
      <c r="C3" s="7"/>
      <c r="D3" s="7"/>
      <c r="E3" s="7"/>
      <c r="F3" s="7"/>
      <c r="G3" s="7"/>
    </row>
    <row r="5" customFormat="false" ht="15" hidden="false" customHeight="false" outlineLevel="0" collapsed="false">
      <c r="A5" s="3" t="s">
        <v>117</v>
      </c>
      <c r="B5" s="3" t="s">
        <v>118</v>
      </c>
      <c r="C5" s="3" t="s">
        <v>119</v>
      </c>
      <c r="D5" s="3" t="s">
        <v>120</v>
      </c>
      <c r="E5" s="3" t="s">
        <v>121</v>
      </c>
      <c r="F5" s="3" t="s">
        <v>122</v>
      </c>
      <c r="G5" s="3" t="s">
        <v>123</v>
      </c>
    </row>
    <row r="6" customFormat="false" ht="15" hidden="false" customHeight="false" outlineLevel="0" collapsed="false">
      <c r="A6" s="5" t="s">
        <v>124</v>
      </c>
      <c r="B6" s="5" t="s">
        <v>5</v>
      </c>
      <c r="C6" s="5" t="n">
        <f aca="false">COUNT(Data!$I$3:I$322)</f>
        <v>320</v>
      </c>
      <c r="D6" s="8" t="n">
        <f aca="false">INDEX(LINEST(Data!$I$3:I$322,Data!$E$3:E$322,TRUE(),TRUE()),3,1)</f>
        <v>0.736285340003311</v>
      </c>
      <c r="E6" s="5" t="s">
        <v>125</v>
      </c>
      <c r="F6" s="9" t="n">
        <f aca="false">TDIST(ABS((INDEX(LINEST(Data!$I$3:I$322,Data!$E$3:E$322,TRUE(),TRUE()),1,1)/INDEX(LINEST(Data!$I$3:I$322,Data!$E$3:E$322,TRUE(),TRUE()),2,1))),INDEX(LINEST(Data!$I$3:I$322,Data!$E$3:E$322,TRUE(),TRUE()),4,2),2)</f>
        <v>4.75036150900558E-094</v>
      </c>
      <c r="G6" s="5" t="str">
        <f aca="false">IF(F6&lt;0.05,"Yes","No")</f>
        <v>Yes</v>
      </c>
    </row>
    <row r="7" customFormat="false" ht="15" hidden="false" customHeight="false" outlineLevel="0" collapsed="false">
      <c r="A7" s="5" t="s">
        <v>126</v>
      </c>
      <c r="B7" s="5" t="s">
        <v>4</v>
      </c>
      <c r="C7" s="5" t="n">
        <f aca="false">COUNT(Data!$I$3:I$322)</f>
        <v>320</v>
      </c>
      <c r="D7" s="8" t="n">
        <f aca="false">INDEX(LINEST(Data!$I$3:I$322,Data!$D$3:D$322,TRUE(),TRUE()),3,1)</f>
        <v>0.16724469112487</v>
      </c>
      <c r="E7" s="5" t="s">
        <v>125</v>
      </c>
      <c r="F7" s="9" t="n">
        <f aca="false">TDIST(ABS((INDEX(LINEST(Data!$I$3:I$322,Data!$D$3:D$322,TRUE(),TRUE()),1,1)/INDEX(LINEST(Data!$I$3:I$322,Data!$D$3:D$322,TRUE(),TRUE()),2,1))),INDEX(LINEST(Data!$I$3:I$322,Data!$D$3:D$322,TRUE(),TRUE()),4,2),2)</f>
        <v>2.480061510136E-014</v>
      </c>
      <c r="G7" s="5" t="str">
        <f aca="false">IF(F7&lt;0.05,"Yes","No")</f>
        <v>Yes</v>
      </c>
    </row>
    <row r="8" customFormat="false" ht="15" hidden="false" customHeight="false" outlineLevel="0" collapsed="false">
      <c r="A8" s="5" t="s">
        <v>127</v>
      </c>
      <c r="B8" s="5" t="s">
        <v>6</v>
      </c>
      <c r="C8" s="5" t="n">
        <f aca="false">COUNT(Data!$I$3:I$322)</f>
        <v>320</v>
      </c>
      <c r="D8" s="8" t="n">
        <f aca="false">INDEX(LINEST(Data!$I$3:I$322,Data!$F$3:F$322,TRUE(),TRUE()),3,1)</f>
        <v>0.00829050302440034</v>
      </c>
      <c r="E8" s="5" t="s">
        <v>125</v>
      </c>
      <c r="F8" s="9" t="n">
        <f aca="false">TDIST(ABS((INDEX(LINEST(Data!$I$3:I$322,Data!$F$3:F$322,TRUE(),TRUE()),1,1)/INDEX(LINEST(Data!$I$3:I$322,Data!$F$3:F$322,TRUE(),TRUE()),2,1))),INDEX(LINEST(Data!$I$3:I$322,Data!$F$3:F$322,TRUE(),TRUE()),4,2),2)</f>
        <v>0.103993046419031</v>
      </c>
      <c r="G8" s="5" t="str">
        <f aca="false">IF(F8&lt;0.05,"Yes","No")</f>
        <v>No</v>
      </c>
    </row>
    <row r="9" customFormat="false" ht="15" hidden="false" customHeight="false" outlineLevel="0" collapsed="false">
      <c r="A9" s="5" t="s">
        <v>128</v>
      </c>
      <c r="B9" s="5" t="s">
        <v>7</v>
      </c>
      <c r="C9" s="5" t="n">
        <f aca="false">COUNT(Data!$I$3:I$322)</f>
        <v>320</v>
      </c>
      <c r="D9" s="8" t="n">
        <f aca="false">INDEX(LINEST(Data!$I$3:I$322,Data!$G$3:G$322,TRUE(),TRUE()),3,1)</f>
        <v>0.0131150159644044</v>
      </c>
      <c r="E9" s="5" t="s">
        <v>125</v>
      </c>
      <c r="F9" s="9" t="n">
        <f aca="false">TDIST(ABS((INDEX(LINEST(Data!$I$3:I$322,Data!$G$3:G$322,TRUE(),TRUE()),1,1)/INDEX(LINEST(Data!$I$3:I$322,Data!$G$3:G$322,TRUE(),TRUE()),2,1))),INDEX(LINEST(Data!$I$3:I$322,Data!$G$3:G$322,TRUE(),TRUE()),4,2),2)</f>
        <v>0.0406252966301654</v>
      </c>
      <c r="G9" s="5" t="str">
        <f aca="false">IF(F9&lt;0.05,"Yes","No")</f>
        <v>Yes</v>
      </c>
    </row>
    <row r="10" customFormat="false" ht="15" hidden="false" customHeight="false" outlineLevel="0" collapsed="false">
      <c r="A10" s="5" t="s">
        <v>129</v>
      </c>
      <c r="B10" s="5" t="s">
        <v>8</v>
      </c>
      <c r="C10" s="5" t="n">
        <f aca="false">COUNT(Data!$I$3:I$322)</f>
        <v>320</v>
      </c>
      <c r="D10" s="8" t="n">
        <f aca="false">INDEX(LINEST(Data!$I$3:I$322,Data!$H$3:H$322,TRUE(),TRUE()),3,1)</f>
        <v>0.000741724533578218</v>
      </c>
      <c r="E10" s="5" t="s">
        <v>125</v>
      </c>
      <c r="F10" s="9" t="n">
        <f aca="false">TDIST(ABS((INDEX(LINEST(Data!$I$3:I$322,Data!$H$3:H$322,TRUE(),TRUE()),1,1)/INDEX(LINEST(Data!$I$3:I$322,Data!$H$3:H$322,TRUE(),TRUE()),2,1))),INDEX(LINEST(Data!$I$3:I$322,Data!$H$3:H$322,TRUE(),TRUE()),4,2),2)</f>
        <v>0.627413033732141</v>
      </c>
      <c r="G10" s="5" t="str">
        <f aca="false">IF(F10&lt;0.05,"Yes","No")</f>
        <v>No</v>
      </c>
    </row>
    <row r="11" customFormat="false" ht="15" hidden="false" customHeight="false" outlineLevel="0" collapsed="false">
      <c r="A11" s="10" t="s">
        <v>130</v>
      </c>
      <c r="B11" s="11" t="s">
        <v>131</v>
      </c>
      <c r="C11" s="11" t="n">
        <f aca="false">COUNT(Data!$I$3:I$322)</f>
        <v>320</v>
      </c>
      <c r="D11" s="12" t="n">
        <f aca="false">INDEX(LINEST(Data!$I$3:I$322,Data!$P$3:U$322,TRUE(),TRUE()),3,1)</f>
        <v>0.819920190459529</v>
      </c>
      <c r="E11" s="12" t="n">
        <f aca="false">1-((1-D11)*(C11-1)/(C11-6-1))</f>
        <v>0.816468181330958</v>
      </c>
      <c r="F11" s="11" t="str">
        <f aca="false">"Highest term p-value: "&amp;TEXT(MAX(TDIST(ABS(INDEX(LINEST(Data!$I$3:I$322,Data!$P$3:U$322,TRUE(),TRUE()),1,6)/INDEX(LINEST(Data!$I$3:I$322,Data!$P$3:U$322,TRUE(),TRUE()),2,6)),INDEX(LINEST(Data!$I$3:I$322,Data!$P$3:U$322,TRUE(),TRUE()),4,2),2),TDIST(ABS(INDEX(LINEST(Data!$I$3:I$322,Data!$P$3:U$322,TRUE(),TRUE()),1,5)/INDEX(LINEST(Data!$I$3:I$322,Data!$P$3:U$322,TRUE(),TRUE()),2,5)),INDEX(LINEST(Data!$I$3:I$322,Data!$P$3:U$322,TRUE(),TRUE()),4,2),2),TDIST(ABS(INDEX(LINEST(Data!$I$3:I$322,Data!$P$3:U$322,TRUE(),TRUE()),1,4)/INDEX(LINEST(Data!$I$3:I$322,Data!$P$3:U$322,TRUE(),TRUE()),2,4)),INDEX(LINEST(Data!$I$3:I$322,Data!$P$3:U$322,TRUE(),TRUE()),4,2),2),TDIST(ABS(INDEX(LINEST(Data!$I$3:I$322,Data!$P$3:U$322,TRUE(),TRUE()),1,3)/INDEX(LINEST(Data!$I$3:I$322,Data!$P$3:U$322,TRUE(),TRUE()),2,3)),INDEX(LINEST(Data!$I$3:I$322,Data!$P$3:U$322,TRUE(),TRUE()),4,2),2),TDIST(ABS(INDEX(LINEST(Data!$I$3:I$322,Data!$P$3:U$322,TRUE(),TRUE()),1,2)/INDEX(LINEST(Data!$I$3:I$322,Data!$P$3:U$322,TRUE(),TRUE()),2,2)),INDEX(LINEST(Data!$I$3:I$322,Data!$P$3:U$322,TRUE(),TRUE()),4,2),2),TDIST(ABS(INDEX(LINEST(Data!$I$3:I$322,Data!$P$3:U$322,TRUE(),TRUE()),1,1)/INDEX(LINEST(Data!$I$3:I$322,Data!$P$3:U$322,TRUE(),TRUE()),2,1)),INDEX(LINEST(Data!$I$3:I$322,Data!$P$3:U$322,TRUE(),TRUE()),4,2),2)),"0.0000")</f>
        <v>Highest term p-value: 0.0782</v>
      </c>
      <c r="G11" s="13" t="str">
        <f aca="false">IF(MAX(TDIST(ABS(INDEX(LINEST(Data!$I$3:I$322,Data!$P$3:U$322,TRUE(),TRUE()),1,6)/INDEX(LINEST(Data!$I$3:I$322,Data!$P$3:U$322,TRUE(),TRUE()),2,6)),INDEX(LINEST(Data!$I$3:I$322,Data!$P$3:U$322,TRUE(),TRUE()),4,2),2),TDIST(ABS(INDEX(LINEST(Data!$I$3:I$322,Data!$P$3:U$322,TRUE(),TRUE()),1,5)/INDEX(LINEST(Data!$I$3:I$322,Data!$P$3:U$322,TRUE(),TRUE()),2,5)),INDEX(LINEST(Data!$I$3:I$322,Data!$P$3:U$322,TRUE(),TRUE()),4,2),2),TDIST(ABS(INDEX(LINEST(Data!$I$3:I$322,Data!$P$3:U$322,TRUE(),TRUE()),1,4)/INDEX(LINEST(Data!$I$3:I$322,Data!$P$3:U$322,TRUE(),TRUE()),2,4)),INDEX(LINEST(Data!$I$3:I$322,Data!$P$3:U$322,TRUE(),TRUE()),4,2),2),TDIST(ABS(INDEX(LINEST(Data!$I$3:I$322,Data!$P$3:U$322,TRUE(),TRUE()),1,3)/INDEX(LINEST(Data!$I$3:I$322,Data!$P$3:U$322,TRUE(),TRUE()),2,3)),INDEX(LINEST(Data!$I$3:I$322,Data!$P$3:U$322,TRUE(),TRUE()),4,2),2),TDIST(ABS(INDEX(LINEST(Data!$I$3:I$322,Data!$P$3:U$322,TRUE(),TRUE()),1,2)/INDEX(LINEST(Data!$I$3:I$322,Data!$P$3:U$322,TRUE(),TRUE()),2,2)),INDEX(LINEST(Data!$I$3:I$322,Data!$P$3:U$322,TRUE(),TRUE()),4,2),2),TDIST(ABS(INDEX(LINEST(Data!$I$3:I$322,Data!$P$3:U$322,TRUE(),TRUE()),1,1)/INDEX(LINEST(Data!$I$3:I$322,Data!$P$3:U$322,TRUE(),TRUE()),2,1)),INDEX(LINEST(Data!$I$3:I$322,Data!$P$3:U$322,TRUE(),TRUE()),4,2),2))&lt;0.05,"All terms significant","Mostly (one term marginal)")</f>
        <v>Mostly (one term marginal)</v>
      </c>
    </row>
    <row r="12" customFormat="false" ht="15" hidden="false" customHeight="false" outlineLevel="0" collapsed="false">
      <c r="A12" s="14" t="s">
        <v>132</v>
      </c>
      <c r="B12" s="5" t="s">
        <v>133</v>
      </c>
      <c r="C12" s="5" t="n">
        <f aca="false">COUNT(Data!$I$3:I$322)</f>
        <v>320</v>
      </c>
      <c r="D12" s="8" t="n">
        <f aca="false">INDEX(LINEST(Data!$I$3:I$322,Data!$W$3:AD$322,TRUE(),TRUE()),3,1)</f>
        <v>0.825795293077322</v>
      </c>
      <c r="E12" s="8" t="n">
        <f aca="false">1-((1-D12)*(C12-1)/(C12-8-1))</f>
        <v>0.821314143060018</v>
      </c>
      <c r="F12" s="15" t="str">
        <f aca="false">"Highest term p-value: "&amp;TEXT(MAX(TDIST(ABS(INDEX(LINEST(Data!$I$3:I$322,Data!$W$3:AD$322,TRUE(),TRUE()),1,8)/INDEX(LINEST(Data!$I$3:I$322,Data!$W$3:AD$322,TRUE(),TRUE()),2,8)),INDEX(LINEST(Data!$I$3:I$322,Data!$W$3:AD$322,TRUE(),TRUE()),4,2),2),TDIST(ABS(INDEX(LINEST(Data!$I$3:I$322,Data!$W$3:AD$322,TRUE(),TRUE()),1,7)/INDEX(LINEST(Data!$I$3:I$322,Data!$W$3:AD$322,TRUE(),TRUE()),2,7)),INDEX(LINEST(Data!$I$3:I$322,Data!$W$3:AD$322,TRUE(),TRUE()),4,2),2),TDIST(ABS(INDEX(LINEST(Data!$I$3:I$322,Data!$W$3:AD$322,TRUE(),TRUE()),1,6)/INDEX(LINEST(Data!$I$3:I$322,Data!$W$3:AD$322,TRUE(),TRUE()),2,6)),INDEX(LINEST(Data!$I$3:I$322,Data!$W$3:AD$322,TRUE(),TRUE()),4,2),2),TDIST(ABS(INDEX(LINEST(Data!$I$3:I$322,Data!$W$3:AD$322,TRUE(),TRUE()),1,5)/INDEX(LINEST(Data!$I$3:I$322,Data!$W$3:AD$322,TRUE(),TRUE()),2,5)),INDEX(LINEST(Data!$I$3:I$322,Data!$W$3:AD$322,TRUE(),TRUE()),4,2),2),TDIST(ABS(INDEX(LINEST(Data!$I$3:I$322,Data!$W$3:AD$322,TRUE(),TRUE()),1,4)/INDEX(LINEST(Data!$I$3:I$322,Data!$W$3:AD$322,TRUE(),TRUE()),2,4)),INDEX(LINEST(Data!$I$3:I$322,Data!$W$3:AD$322,TRUE(),TRUE()),4,2),2),TDIST(ABS(INDEX(LINEST(Data!$I$3:I$322,Data!$W$3:AD$322,TRUE(),TRUE()),1,3)/INDEX(LINEST(Data!$I$3:I$322,Data!$W$3:AD$322,TRUE(),TRUE()),2,3)),INDEX(LINEST(Data!$I$3:I$322,Data!$W$3:AD$322,TRUE(),TRUE()),4,2),2),TDIST(ABS(INDEX(LINEST(Data!$I$3:I$322,Data!$W$3:AD$322,TRUE(),TRUE()),1,2)/INDEX(LINEST(Data!$I$3:I$322,Data!$W$3:AD$322,TRUE(),TRUE()),2,2)),INDEX(LINEST(Data!$I$3:I$322,Data!$W$3:AD$322,TRUE(),TRUE()),4,2),2),TDIST(ABS(INDEX(LINEST(Data!$I$3:I$322,Data!$W$3:AD$322,TRUE(),TRUE()),1,1)/INDEX(LINEST(Data!$I$3:I$322,Data!$W$3:AD$322,TRUE(),TRUE()),2,1)),INDEX(LINEST(Data!$I$3:I$322,Data!$W$3:AD$322,TRUE(),TRUE()),4,2),2)),"0.0000")</f>
        <v>Highest term p-value: 0.1216</v>
      </c>
      <c r="G12" s="15" t="str">
        <f aca="false">IF(MAX(TDIST(ABS(INDEX(LINEST(Data!$I$3:I$322,Data!$W$3:AD$322,TRUE(),TRUE()),1,8)/INDEX(LINEST(Data!$I$3:I$322,Data!$W$3:AD$322,TRUE(),TRUE()),2,8)),INDEX(LINEST(Data!$I$3:I$322,Data!$W$3:AD$322,TRUE(),TRUE()),4,2),2),TDIST(ABS(INDEX(LINEST(Data!$I$3:I$322,Data!$W$3:AD$322,TRUE(),TRUE()),1,7)/INDEX(LINEST(Data!$I$3:I$322,Data!$W$3:AD$322,TRUE(),TRUE()),2,7)),INDEX(LINEST(Data!$I$3:I$322,Data!$W$3:AD$322,TRUE(),TRUE()),4,2),2),TDIST(ABS(INDEX(LINEST(Data!$I$3:I$322,Data!$W$3:AD$322,TRUE(),TRUE()),1,6)/INDEX(LINEST(Data!$I$3:I$322,Data!$W$3:AD$322,TRUE(),TRUE()),2,6)),INDEX(LINEST(Data!$I$3:I$322,Data!$W$3:AD$322,TRUE(),TRUE()),4,2),2),TDIST(ABS(INDEX(LINEST(Data!$I$3:I$322,Data!$W$3:AD$322,TRUE(),TRUE()),1,5)/INDEX(LINEST(Data!$I$3:I$322,Data!$W$3:AD$322,TRUE(),TRUE()),2,5)),INDEX(LINEST(Data!$I$3:I$322,Data!$W$3:AD$322,TRUE(),TRUE()),4,2),2),TDIST(ABS(INDEX(LINEST(Data!$I$3:I$322,Data!$W$3:AD$322,TRUE(),TRUE()),1,4)/INDEX(LINEST(Data!$I$3:I$322,Data!$W$3:AD$322,TRUE(),TRUE()),2,4)),INDEX(LINEST(Data!$I$3:I$322,Data!$W$3:AD$322,TRUE(),TRUE()),4,2),2),TDIST(ABS(INDEX(LINEST(Data!$I$3:I$322,Data!$W$3:AD$322,TRUE(),TRUE()),1,3)/INDEX(LINEST(Data!$I$3:I$322,Data!$W$3:AD$322,TRUE(),TRUE()),2,3)),INDEX(LINEST(Data!$I$3:I$322,Data!$W$3:AD$322,TRUE(),TRUE()),4,2),2),TDIST(ABS(INDEX(LINEST(Data!$I$3:I$322,Data!$W$3:AD$322,TRUE(),TRUE()),1,2)/INDEX(LINEST(Data!$I$3:I$322,Data!$W$3:AD$322,TRUE(),TRUE()),2,2)),INDEX(LINEST(Data!$I$3:I$322,Data!$W$3:AD$322,TRUE(),TRUE()),4,2),2),TDIST(ABS(INDEX(LINEST(Data!$I$3:I$322,Data!$W$3:AD$322,TRUE(),TRUE()),1,1)/INDEX(LINEST(Data!$I$3:I$322,Data!$W$3:AD$322,TRUE(),TRUE()),2,1)),INDEX(LINEST(Data!$I$3:I$322,Data!$W$3:AD$322,TRUE(),TRUE()),4,2),2))&lt;0.05,"All terms significant","Mostly (1-2 terms not significant)")</f>
        <v>Mostly (1-2 terms not significant)</v>
      </c>
    </row>
    <row r="14" customFormat="false" ht="15" hidden="false" customHeight="true" outlineLevel="0" collapsed="false">
      <c r="A14" s="16" t="s">
        <v>134</v>
      </c>
      <c r="B14" s="16"/>
      <c r="C14" s="16"/>
      <c r="D14" s="16"/>
      <c r="E14" s="16"/>
      <c r="F14" s="16"/>
      <c r="G14" s="16"/>
    </row>
  </sheetData>
  <mergeCells count="3">
    <mergeCell ref="A1:G1"/>
    <mergeCell ref="A3:G3"/>
    <mergeCell ref="A14:G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2026-06-28T10:00:47Z</dcterms:created>
  <dc:creator>openpyxl</dc:creator>
  <dc:description/>
  <dc:language>en-US</dc:language>
  <cp:lastModifiedBy/>
  <dcterms:modified xsi:type="dcterms:W3CDTF">2026-06-28T10:00:47Z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